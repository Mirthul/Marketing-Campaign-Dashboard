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Intellea\projects\Project 6\"/>
    </mc:Choice>
  </mc:AlternateContent>
  <xr:revisionPtr revIDLastSave="0" documentId="13_ncr:1_{2676653B-1172-4806-9B81-05D5D0155CD3}" xr6:coauthVersionLast="47" xr6:coauthVersionMax="47" xr10:uidLastSave="{00000000-0000-0000-0000-000000000000}"/>
  <bookViews>
    <workbookView xWindow="11424" yWindow="0" windowWidth="11712" windowHeight="12336" tabRatio="500" firstSheet="7" activeTab="7" xr2:uid="{00000000-000D-0000-FFFF-FFFF00000000}"/>
  </bookViews>
  <sheets>
    <sheet name="Sheet1 - Dataset" sheetId="1" r:id="rId1"/>
    <sheet name="Sheet2 - Q1 Answer" sheetId="2" r:id="rId2"/>
    <sheet name="Sheet3 - Q2 Answer" sheetId="3" r:id="rId3"/>
    <sheet name="Sheet4 - Q3 Answer" sheetId="4" r:id="rId4"/>
    <sheet name="Sheet5 - Q4 Answer" sheetId="5" r:id="rId5"/>
    <sheet name="Sheet6 - Q5 Answer" sheetId="6" r:id="rId6"/>
    <sheet name="Sheet7 - Q6 Answer" sheetId="7" r:id="rId7"/>
    <sheet name="Sheet8 - Q7 Answer" sheetId="8" r:id="rId8"/>
    <sheet name="Sheet9 - Q8 Answer" sheetId="9" r:id="rId9"/>
    <sheet name="Sheet10 - Q9 Dashboard" sheetId="10" r:id="rId10"/>
  </sheets>
  <definedNames>
    <definedName name="_xlchart.v2.0" hidden="1">'Sheet8 - Q7 Answer'!$A$4:$A$7</definedName>
    <definedName name="_xlchart.v2.1" hidden="1">'Sheet8 - Q7 Answer'!$B$3</definedName>
    <definedName name="_xlchart.v2.2" hidden="1">'Sheet8 - Q7 Answer'!$B$4:$B$7</definedName>
    <definedName name="_xlchart.v2.3" hidden="1">'Sheet8 - Q7 Answer'!$A$4:$A$7</definedName>
    <definedName name="_xlchart.v2.4" hidden="1">'Sheet8 - Q7 Answer'!$B$3</definedName>
    <definedName name="_xlchart.v2.5" hidden="1">'Sheet8 - Q7 Answer'!$B$4:$B$7</definedName>
    <definedName name="NativeTimeline_Campign_Date">#N/A</definedName>
    <definedName name="Slicer_Month">#N/A</definedName>
  </definedNames>
  <calcPr calcId="191029" iterateDelta="1E-4"/>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9" l="1"/>
  <c r="B14" i="9"/>
  <c r="B12" i="9"/>
  <c r="B5" i="3"/>
  <c r="B6" i="3"/>
  <c r="B7" i="3"/>
  <c r="B8" i="3"/>
  <c r="B9" i="3"/>
  <c r="B10" i="3"/>
  <c r="B11" i="3"/>
  <c r="B12" i="3"/>
  <c r="B13" i="3"/>
  <c r="B14" i="3"/>
  <c r="B15" i="3"/>
  <c r="B4" i="3"/>
  <c r="G5" i="3"/>
  <c r="G6" i="3"/>
  <c r="G7" i="3"/>
  <c r="G8" i="3"/>
  <c r="G9" i="3"/>
  <c r="G10" i="3"/>
  <c r="G11" i="3"/>
  <c r="G12" i="3"/>
  <c r="G13" i="3"/>
  <c r="G14" i="3"/>
  <c r="G15" i="3"/>
  <c r="G4" i="3"/>
  <c r="B23" i="10"/>
  <c r="B22" i="10"/>
  <c r="B21" i="10"/>
  <c r="F5" i="3"/>
  <c r="F6" i="3"/>
  <c r="F7" i="3"/>
  <c r="F8" i="3"/>
  <c r="F9" i="3"/>
  <c r="F10" i="3"/>
  <c r="F11" i="3"/>
  <c r="F12" i="3"/>
  <c r="F13" i="3"/>
  <c r="F14" i="3"/>
  <c r="F15" i="3"/>
  <c r="F4" i="3"/>
  <c r="D5" i="3"/>
  <c r="D6" i="3"/>
  <c r="D7" i="3"/>
  <c r="D8" i="3"/>
  <c r="D9" i="3"/>
  <c r="D10" i="3"/>
  <c r="D11" i="3"/>
  <c r="D12" i="3"/>
  <c r="D13" i="3"/>
  <c r="D14" i="3"/>
  <c r="D15" i="3"/>
  <c r="D4" i="3"/>
  <c r="B8" i="10"/>
  <c r="B19" i="10"/>
  <c r="B18" i="10"/>
  <c r="B11" i="10"/>
  <c r="B10" i="10"/>
  <c r="B9" i="10"/>
  <c r="M4" i="10"/>
  <c r="J4" i="10"/>
  <c r="G4" i="10"/>
  <c r="D4" i="10"/>
  <c r="A4" i="10"/>
  <c r="J5" i="2"/>
  <c r="J6" i="2"/>
  <c r="J7" i="2"/>
  <c r="J8" i="2"/>
  <c r="J9" i="2"/>
  <c r="J10" i="2"/>
  <c r="J11" i="2"/>
  <c r="J12" i="2"/>
  <c r="J13" i="2"/>
  <c r="J14" i="2"/>
  <c r="J15" i="2"/>
  <c r="J4" i="2"/>
  <c r="C8" i="7"/>
  <c r="C9" i="7"/>
  <c r="C10" i="7"/>
  <c r="B8" i="7"/>
  <c r="B9" i="7"/>
  <c r="B10" i="7"/>
  <c r="C7" i="7"/>
  <c r="B7" i="7"/>
  <c r="D7" i="7" s="1"/>
  <c r="B14" i="5"/>
  <c r="C4" i="4"/>
  <c r="D4" i="4" s="1"/>
  <c r="C5" i="4"/>
  <c r="D5" i="4" s="1"/>
  <c r="C6" i="4"/>
  <c r="D6" i="4" s="1"/>
  <c r="C7" i="4"/>
  <c r="D7" i="4" s="1"/>
  <c r="C8" i="4"/>
  <c r="D8" i="4" s="1"/>
  <c r="C9" i="4"/>
  <c r="D9" i="4" s="1"/>
  <c r="C10" i="4"/>
  <c r="D10" i="4" s="1"/>
  <c r="C11" i="4"/>
  <c r="D11" i="4" s="1"/>
  <c r="C12" i="4"/>
  <c r="D12" i="4" s="1"/>
  <c r="C13" i="4"/>
  <c r="D13" i="4" s="1"/>
  <c r="C14" i="4"/>
  <c r="D14" i="4" s="1"/>
  <c r="C15" i="4"/>
  <c r="D15" i="4" s="1"/>
  <c r="B5" i="4"/>
  <c r="B6" i="4"/>
  <c r="B7" i="4"/>
  <c r="B8" i="4"/>
  <c r="B9" i="4"/>
  <c r="B10" i="4"/>
  <c r="B11" i="4"/>
  <c r="B12" i="4"/>
  <c r="B13" i="4"/>
  <c r="B14" i="4"/>
  <c r="B15" i="4"/>
  <c r="A5" i="4"/>
  <c r="A6" i="4"/>
  <c r="A7" i="4"/>
  <c r="A8" i="4"/>
  <c r="A9" i="4"/>
  <c r="A10" i="4"/>
  <c r="A11" i="4"/>
  <c r="A12" i="4"/>
  <c r="A13" i="4"/>
  <c r="A14" i="4"/>
  <c r="A15" i="4"/>
  <c r="B4" i="4"/>
  <c r="A4" i="4"/>
  <c r="E5" i="3"/>
  <c r="E6" i="3"/>
  <c r="E7" i="3"/>
  <c r="E8" i="3"/>
  <c r="E9" i="3"/>
  <c r="E10" i="3"/>
  <c r="E11" i="3"/>
  <c r="E12" i="3"/>
  <c r="E13" i="3"/>
  <c r="E14" i="3"/>
  <c r="E15" i="3"/>
  <c r="E4" i="3"/>
  <c r="C4" i="3"/>
  <c r="C5" i="3"/>
  <c r="C6" i="3"/>
  <c r="C7" i="3"/>
  <c r="C8" i="3"/>
  <c r="C9" i="3"/>
  <c r="C10" i="3"/>
  <c r="C11" i="3"/>
  <c r="C12" i="3"/>
  <c r="C13" i="3"/>
  <c r="C14" i="3"/>
  <c r="C15" i="3"/>
  <c r="A5" i="3"/>
  <c r="A6" i="3"/>
  <c r="A7" i="3"/>
  <c r="A8" i="3"/>
  <c r="A9" i="3"/>
  <c r="A10" i="3"/>
  <c r="A11" i="3"/>
  <c r="A12" i="3"/>
  <c r="A13" i="3"/>
  <c r="A14" i="3"/>
  <c r="A15" i="3"/>
  <c r="A4" i="3"/>
  <c r="I5" i="2"/>
  <c r="H5" i="2"/>
  <c r="G5" i="2"/>
  <c r="F5" i="2"/>
  <c r="E5" i="2"/>
  <c r="D5" i="2"/>
  <c r="C5" i="2"/>
  <c r="B5" i="2"/>
  <c r="A5" i="2"/>
  <c r="D4" i="2"/>
  <c r="E4" i="2"/>
  <c r="F4" i="2"/>
  <c r="G4" i="2"/>
  <c r="H4" i="2"/>
  <c r="I4" i="2"/>
  <c r="D6" i="2"/>
  <c r="E6" i="2"/>
  <c r="F6" i="2"/>
  <c r="G6" i="2"/>
  <c r="H6" i="2"/>
  <c r="I6" i="2"/>
  <c r="D7" i="2"/>
  <c r="E7" i="2"/>
  <c r="F7" i="2"/>
  <c r="G7" i="2"/>
  <c r="H7" i="2"/>
  <c r="I7" i="2"/>
  <c r="D8" i="2"/>
  <c r="E8" i="2"/>
  <c r="F8" i="2"/>
  <c r="G8" i="2"/>
  <c r="H8" i="2"/>
  <c r="I8" i="2"/>
  <c r="D9" i="2"/>
  <c r="E9" i="2"/>
  <c r="F9" i="2"/>
  <c r="G9" i="2"/>
  <c r="H9" i="2"/>
  <c r="I9" i="2"/>
  <c r="D10" i="2"/>
  <c r="E10" i="2"/>
  <c r="F10" i="2"/>
  <c r="G10" i="2"/>
  <c r="H10" i="2"/>
  <c r="I10" i="2"/>
  <c r="D11" i="2"/>
  <c r="E11" i="2"/>
  <c r="F11" i="2"/>
  <c r="G11" i="2"/>
  <c r="H11" i="2"/>
  <c r="I11" i="2"/>
  <c r="D12" i="2"/>
  <c r="E12" i="2"/>
  <c r="F12" i="2"/>
  <c r="G12" i="2"/>
  <c r="H12" i="2"/>
  <c r="I12" i="2"/>
  <c r="D13" i="2"/>
  <c r="E13" i="2"/>
  <c r="F13" i="2"/>
  <c r="G13" i="2"/>
  <c r="H13" i="2"/>
  <c r="I13" i="2"/>
  <c r="D14" i="2"/>
  <c r="E14" i="2"/>
  <c r="F14" i="2"/>
  <c r="G14" i="2"/>
  <c r="H14" i="2"/>
  <c r="I14" i="2"/>
  <c r="D15" i="2"/>
  <c r="E15" i="2"/>
  <c r="F15" i="2"/>
  <c r="G15" i="2"/>
  <c r="H15" i="2"/>
  <c r="I15" i="2"/>
  <c r="C6" i="2"/>
  <c r="C7" i="2"/>
  <c r="C8" i="2"/>
  <c r="C9" i="2"/>
  <c r="C10" i="2"/>
  <c r="C11" i="2"/>
  <c r="C12" i="2"/>
  <c r="C13" i="2"/>
  <c r="C14" i="2"/>
  <c r="C15" i="2"/>
  <c r="B6" i="2"/>
  <c r="B7" i="2"/>
  <c r="B8" i="2"/>
  <c r="B9" i="2"/>
  <c r="B10" i="2"/>
  <c r="B11" i="2"/>
  <c r="B12" i="2"/>
  <c r="B13" i="2"/>
  <c r="B14" i="2"/>
  <c r="B15" i="2"/>
  <c r="A15" i="2"/>
  <c r="A6" i="2"/>
  <c r="A7" i="2"/>
  <c r="A8" i="2"/>
  <c r="A9" i="2"/>
  <c r="A10" i="2"/>
  <c r="A11" i="2"/>
  <c r="A12" i="2"/>
  <c r="A13" i="2"/>
  <c r="A14" i="2"/>
  <c r="C4" i="2"/>
  <c r="B4" i="2"/>
  <c r="A4" i="2"/>
  <c r="E7" i="7" l="1"/>
  <c r="E8" i="7"/>
  <c r="D8" i="7"/>
  <c r="D9" i="7"/>
  <c r="E9" i="7"/>
  <c r="D10" i="7"/>
  <c r="E10" i="7"/>
</calcChain>
</file>

<file path=xl/sharedStrings.xml><?xml version="1.0" encoding="utf-8"?>
<sst xmlns="http://schemas.openxmlformats.org/spreadsheetml/2006/main" count="198" uniqueCount="102">
  <si>
    <t>Campaign ID</t>
  </si>
  <si>
    <t>Campaign Name</t>
  </si>
  <si>
    <t>Channel</t>
  </si>
  <si>
    <t>Month</t>
  </si>
  <si>
    <t>Spend</t>
  </si>
  <si>
    <t>Impressions</t>
  </si>
  <si>
    <t>Clicks</t>
  </si>
  <si>
    <t>Leads</t>
  </si>
  <si>
    <t>Conversions</t>
  </si>
  <si>
    <t>Channel Owners</t>
  </si>
  <si>
    <t>C01</t>
  </si>
  <si>
    <t xml:space="preserve">  spring sale email</t>
  </si>
  <si>
    <t>Email</t>
  </si>
  <si>
    <t>Jan</t>
  </si>
  <si>
    <t>Owner</t>
  </si>
  <si>
    <t>C02</t>
  </si>
  <si>
    <t>Search Brand Terms</t>
  </si>
  <si>
    <t>Search</t>
  </si>
  <si>
    <t>Neha Kulkarni</t>
  </si>
  <si>
    <t>C03</t>
  </si>
  <si>
    <t>social  reels promo</t>
  </si>
  <si>
    <t>Social</t>
  </si>
  <si>
    <t>Arjun Rao</t>
  </si>
  <si>
    <t>C04</t>
  </si>
  <si>
    <t>Display Retarget</t>
  </si>
  <si>
    <t>Display</t>
  </si>
  <si>
    <t>Divya Menon</t>
  </si>
  <si>
    <t>C05</t>
  </si>
  <si>
    <t xml:space="preserve">  new year email</t>
  </si>
  <si>
    <t>Feb</t>
  </si>
  <si>
    <t>Karan Shah</t>
  </si>
  <si>
    <t>C06</t>
  </si>
  <si>
    <t>Search Generic Terms</t>
  </si>
  <si>
    <t>C07</t>
  </si>
  <si>
    <t>social  influencer</t>
  </si>
  <si>
    <t>C08</t>
  </si>
  <si>
    <t>Display Prospecting</t>
  </si>
  <si>
    <t>C09</t>
  </si>
  <si>
    <t xml:space="preserve">  clearance email</t>
  </si>
  <si>
    <t>Mar</t>
  </si>
  <si>
    <t>C10</t>
  </si>
  <si>
    <t>Search Competitor Terms</t>
  </si>
  <si>
    <t>C11</t>
  </si>
  <si>
    <t>social  contest</t>
  </si>
  <si>
    <t>C12</t>
  </si>
  <si>
    <t>Display Lookalike</t>
  </si>
  <si>
    <t>Q1. Clean the Campaign Name column, convert the range into a formal Excel Table, and add a data validation dropdown for Channel.</t>
  </si>
  <si>
    <t>Campaign Name (Cleaned)</t>
  </si>
  <si>
    <t>Q2. Calculate Cost Per Conversion for every campaign, and label performance Excellent, Good, or Needs Review using nested IF.</t>
  </si>
  <si>
    <t>CPA (Spend/Conversions)</t>
  </si>
  <si>
    <t>Performance (Nested IF)</t>
  </si>
  <si>
    <t>Q3. VLOOKUP each campaign's Channel Owner from the lookup table, wrapped in IFERROR.</t>
  </si>
  <si>
    <t>Channel Owner (VLOOKUP+IFERROR)</t>
  </si>
  <si>
    <t>Q4. Build a two way lookup with INDEX and MATCH that returns total spend for any Channel and Month combination.</t>
  </si>
  <si>
    <t>Spend Grid (source)</t>
  </si>
  <si>
    <t>Try It: Two Way Lookup</t>
  </si>
  <si>
    <t>Type a Channel:</t>
  </si>
  <si>
    <t>Type a Month:</t>
  </si>
  <si>
    <t>Result (INDEX and MATCH):</t>
  </si>
  <si>
    <t>Q5. Build a Pivot Table summarizing spend and conversions by Channel and Month.</t>
  </si>
  <si>
    <t>Live Pivot Table (right click, Refresh, to confirm it recalculates)</t>
  </si>
  <si>
    <t>Filter</t>
  </si>
  <si>
    <t>Data</t>
  </si>
  <si>
    <t>Total Result</t>
  </si>
  <si>
    <t>Sum - Spend</t>
  </si>
  <si>
    <t>Sum - Conversions</t>
  </si>
  <si>
    <t>Total Sum - Spend</t>
  </si>
  <si>
    <t>Total Sum - Conversions</t>
  </si>
  <si>
    <t>Q6. Add a calculated field for Cost Per Conversion from your answer sheets, and calculate each channel's percent of total spend.</t>
  </si>
  <si>
    <t>Fill the block below with independent SUMIF formulas and divide them for CPA — those are what is marked. Then, if you want the practice, write the same numbers again with GETPIVOTDATA against your Sheet6 pivot and check the two agree. GETPIVOTDATA reads a PivotTable's cached values rather than calculating them, so it is not automatically marked.</t>
  </si>
  <si>
    <t>Total Spend</t>
  </si>
  <si>
    <t>Total Conversions</t>
  </si>
  <si>
    <t>CPA (Calculated Field)</t>
  </si>
  <si>
    <t>Percent of Total Spend</t>
  </si>
  <si>
    <t>Q7. Build a chart visualizing the campaign funnel stages, Impressions, Clicks, Leads, Conversions.</t>
  </si>
  <si>
    <t>Note: the Funnel chart type is not available in this environment. A bar chart in descending stage order is the closest genuine substitute.</t>
  </si>
  <si>
    <t>Stage</t>
  </si>
  <si>
    <t>Total</t>
  </si>
  <si>
    <t>Q8. Add a Slicer for Month and a Timeline for a campaign date field to your pivot table, connected so both filter it live.</t>
  </si>
  <si>
    <t>IMPORTANT, this feature must be built live in Excel</t>
  </si>
  <si>
    <t>A Slicer and a Timeline are genuine interactive Excel buttons, not something a script can generate inside a file. Click your Sheet6 pivot, then Insert, Slicer, choose Month, exactly as taught in Module 7. Once built, clicking Jan on your Slicer should produce the same spend shown below.</t>
  </si>
  <si>
    <t>Expected results once your Slicer is built (verified independently, for you to check against)</t>
  </si>
  <si>
    <t>Total Spend Shown</t>
  </si>
  <si>
    <t>Q9. Build an Interactive Dashboard bringing together the pivot, the Slicer and Timeline from Q8, a chart, and key KPIs, and model the Rs 10,000 budget shift scenario.</t>
  </si>
  <si>
    <t>Best CPA Channel</t>
  </si>
  <si>
    <t>Search CPA</t>
  </si>
  <si>
    <t>Display CPA</t>
  </si>
  <si>
    <t>Reminder: connect your Slicer and Timeline from Sheet9 to this dashboard's pivot and chart too.</t>
  </si>
  <si>
    <t>What If: Shift Rs 10,000 Monthly Budget, Display to Search</t>
  </si>
  <si>
    <t>Budget shift amount</t>
  </si>
  <si>
    <t>Extra Search conversions gained</t>
  </si>
  <si>
    <t>Display conversions lost</t>
  </si>
  <si>
    <t>Net change in conversions</t>
  </si>
  <si>
    <t>Row Labels</t>
  </si>
  <si>
    <t>Grand Total</t>
  </si>
  <si>
    <t>Column Labels</t>
  </si>
  <si>
    <t>Sum of Spend</t>
  </si>
  <si>
    <t>Total Sum of Spend</t>
  </si>
  <si>
    <t>Total Sum of Conversions</t>
  </si>
  <si>
    <t>Sum of Conversions</t>
  </si>
  <si>
    <t>Campign Date</t>
  </si>
  <si>
    <t>Month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</si>
</sst>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1"/>
      <color theme="1"/>
      <name val="Calibri"/>
      <family val="2"/>
      <charset val="1"/>
    </font>
    <font>
      <b/>
      <sz val="11"/>
      <color rgb="FFFFFFFF"/>
      <name val="Cambria"/>
      <charset val="1"/>
    </font>
    <font>
      <b/>
      <sz val="11"/>
      <color rgb="FF6D28D9"/>
      <name val="Cambria"/>
      <charset val="1"/>
    </font>
    <font>
      <b/>
      <sz val="13"/>
      <color rgb="FF6D28D9"/>
      <name val="Cambria"/>
      <charset val="1"/>
    </font>
    <font>
      <b/>
      <sz val="12"/>
      <color rgb="FF6D28D9"/>
      <name val="Cambria"/>
      <charset val="1"/>
    </font>
    <font>
      <b/>
      <sz val="11"/>
      <name val="Cambria"/>
      <charset val="1"/>
    </font>
    <font>
      <b/>
      <sz val="14"/>
      <color rgb="FF0F7A4D"/>
      <name val="Cambria"/>
      <charset val="1"/>
    </font>
    <font>
      <i/>
      <sz val="10"/>
      <color rgb="FF0F7A4D"/>
      <name val="Cambria"/>
      <charset val="1"/>
    </font>
    <font>
      <b/>
      <sz val="11"/>
      <color rgb="FFD97706"/>
      <name val="Cambria"/>
      <charset val="1"/>
    </font>
    <font>
      <b/>
      <sz val="11"/>
      <color rgb="FF0F7A4D"/>
      <name val="Cambria"/>
      <charset val="1"/>
    </font>
    <font>
      <sz val="11"/>
      <color theme="1"/>
      <name val="Calibri"/>
      <family val="2"/>
      <charset val="1"/>
    </font>
  </fonts>
  <fills count="3">
    <fill>
      <patternFill patternType="none"/>
    </fill>
    <fill>
      <patternFill patternType="gray125"/>
    </fill>
    <fill>
      <patternFill patternType="solid">
        <fgColor rgb="FF141C4B"/>
        <bgColor rgb="FF000080"/>
      </patternFill>
    </fill>
  </fills>
  <borders count="31">
    <border>
      <left/>
      <right/>
      <top/>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style="medium">
        <color auto="1"/>
      </right>
      <top style="thin">
        <color auto="1"/>
      </top>
      <bottom/>
      <diagonal/>
    </border>
    <border>
      <left style="medium">
        <color auto="1"/>
      </left>
      <right/>
      <top/>
      <bottom/>
      <diagonal/>
    </border>
    <border>
      <left/>
      <right style="thin">
        <color auto="1"/>
      </right>
      <top/>
      <bottom/>
      <diagonal/>
    </border>
    <border>
      <left style="thin">
        <color auto="1"/>
      </left>
      <right/>
      <top/>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7">
    <xf numFmtId="0" fontId="0" fillId="0" borderId="0"/>
    <xf numFmtId="0" fontId="11" fillId="0" borderId="0">
      <alignment horizontal="left"/>
    </xf>
    <xf numFmtId="0" fontId="11" fillId="0" borderId="0"/>
    <xf numFmtId="0" fontId="11" fillId="0" borderId="0"/>
    <xf numFmtId="0" fontId="1" fillId="0" borderId="0"/>
    <xf numFmtId="0" fontId="1" fillId="0" borderId="0">
      <alignment horizontal="left"/>
    </xf>
    <xf numFmtId="0" fontId="11" fillId="0" borderId="0"/>
  </cellStyleXfs>
  <cellXfs count="55">
    <xf numFmtId="0" fontId="0" fillId="0" borderId="0" xfId="0"/>
    <xf numFmtId="0" fontId="2" fillId="2" borderId="0" xfId="0" applyFont="1" applyFill="1"/>
    <xf numFmtId="0" fontId="3" fillId="0" borderId="0" xfId="0" applyFont="1"/>
    <xf numFmtId="4" fontId="0" fillId="0" borderId="0" xfId="0" applyNumberFormat="1"/>
    <xf numFmtId="0" fontId="5" fillId="0" borderId="0" xfId="0" applyFont="1"/>
    <xf numFmtId="0" fontId="6" fillId="0" borderId="0" xfId="0" applyFont="1"/>
    <xf numFmtId="0" fontId="7"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applyAlignment="1">
      <alignment horizontal="left"/>
    </xf>
    <xf numFmtId="0" fontId="0" fillId="0" borderId="9" xfId="0" applyBorder="1" applyAlignment="1">
      <alignment horizontal="left"/>
    </xf>
    <xf numFmtId="0" fontId="1" fillId="0" borderId="10" xfId="0" applyFont="1"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3" xfId="0" applyBorder="1"/>
    <xf numFmtId="0" fontId="0" fillId="0" borderId="14" xfId="0" applyBorder="1"/>
    <xf numFmtId="0" fontId="0" fillId="0" borderId="12" xfId="0" applyBorder="1"/>
    <xf numFmtId="0" fontId="1" fillId="0" borderId="15" xfId="0" applyFont="1" applyBorder="1"/>
    <xf numFmtId="0" fontId="0" fillId="0" borderId="16" xfId="0" applyBorder="1" applyAlignment="1">
      <alignment horizontal="left"/>
    </xf>
    <xf numFmtId="0" fontId="0" fillId="0" borderId="17" xfId="0" applyBorder="1" applyAlignment="1">
      <alignment horizontal="left"/>
    </xf>
    <xf numFmtId="0" fontId="0" fillId="0" borderId="18" xfId="0" applyBorder="1"/>
    <xf numFmtId="0" fontId="0" fillId="0" borderId="17" xfId="0" applyBorder="1"/>
    <xf numFmtId="0" fontId="1" fillId="0" borderId="19" xfId="0" applyFont="1" applyBorder="1"/>
    <xf numFmtId="0" fontId="0" fillId="0" borderId="8" xfId="0" applyBorder="1"/>
    <xf numFmtId="0" fontId="0" fillId="0" borderId="9" xfId="0" applyBorder="1"/>
    <xf numFmtId="0" fontId="1" fillId="0" borderId="20" xfId="0" applyFont="1" applyBorder="1"/>
    <xf numFmtId="0" fontId="1" fillId="0" borderId="16" xfId="0" applyFont="1" applyBorder="1" applyAlignment="1">
      <alignment horizontal="left"/>
    </xf>
    <xf numFmtId="0" fontId="1" fillId="0" borderId="17" xfId="0" applyFont="1" applyBorder="1" applyAlignment="1">
      <alignment horizontal="left"/>
    </xf>
    <xf numFmtId="0" fontId="1" fillId="0" borderId="21" xfId="0" applyFont="1" applyBorder="1"/>
    <xf numFmtId="0" fontId="1" fillId="0" borderId="22" xfId="0" applyFont="1" applyBorder="1"/>
    <xf numFmtId="0" fontId="1" fillId="0" borderId="23" xfId="0" applyFont="1" applyBorder="1"/>
    <xf numFmtId="0" fontId="1" fillId="0" borderId="24" xfId="0" applyFont="1" applyBorder="1"/>
    <xf numFmtId="0" fontId="1" fillId="0" borderId="25" xfId="0" applyFont="1" applyBorder="1" applyAlignment="1">
      <alignment horizontal="left"/>
    </xf>
    <xf numFmtId="0" fontId="1" fillId="0" borderId="26" xfId="0" applyFont="1" applyBorder="1" applyAlignment="1">
      <alignment horizontal="left"/>
    </xf>
    <xf numFmtId="0" fontId="1" fillId="0" borderId="27" xfId="0" applyFont="1" applyBorder="1"/>
    <xf numFmtId="0" fontId="1" fillId="0" borderId="28" xfId="0" applyFont="1" applyBorder="1"/>
    <xf numFmtId="0" fontId="1" fillId="0" borderId="29" xfId="0" applyFont="1" applyBorder="1"/>
    <xf numFmtId="0" fontId="1" fillId="0" borderId="30" xfId="0" applyFont="1" applyBorder="1"/>
    <xf numFmtId="10" fontId="0" fillId="0" borderId="0" xfId="0" applyNumberFormat="1"/>
    <xf numFmtId="0" fontId="9" fillId="0" borderId="0" xfId="0" applyFont="1"/>
    <xf numFmtId="0" fontId="10" fillId="0" borderId="0" xfId="0" applyFont="1"/>
    <xf numFmtId="0" fontId="0" fillId="0" borderId="0" xfId="0" pivotButton="1"/>
    <xf numFmtId="0" fontId="0" fillId="0" borderId="0" xfId="0" applyAlignment="1">
      <alignment horizontal="left"/>
    </xf>
    <xf numFmtId="14" fontId="0" fillId="0" borderId="0" xfId="0" applyNumberFormat="1"/>
    <xf numFmtId="2" fontId="0" fillId="0" borderId="0" xfId="0" applyNumberFormat="1"/>
    <xf numFmtId="0" fontId="4" fillId="0" borderId="0" xfId="0" applyFont="1"/>
    <xf numFmtId="0" fontId="0" fillId="0" borderId="0" xfId="0"/>
    <xf numFmtId="0" fontId="8" fillId="0" borderId="0" xfId="0" applyFont="1" applyAlignment="1">
      <alignment wrapText="1"/>
    </xf>
    <xf numFmtId="0" fontId="5" fillId="0" borderId="0" xfId="0" applyFont="1"/>
    <xf numFmtId="0" fontId="0" fillId="0" borderId="0" xfId="0" applyAlignment="1">
      <alignment vertical="top" wrapText="1"/>
    </xf>
  </cellXfs>
  <cellStyles count="7">
    <cellStyle name="Normal" xfId="0" builtinId="0"/>
    <cellStyle name="Pivot Table Category" xfId="1" xr:uid="{00000000-0005-0000-0000-000006000000}"/>
    <cellStyle name="Pivot Table Corner" xfId="2" xr:uid="{00000000-0005-0000-0000-000007000000}"/>
    <cellStyle name="Pivot Table Field" xfId="3" xr:uid="{00000000-0005-0000-0000-000008000000}"/>
    <cellStyle name="Pivot Table Result" xfId="4" xr:uid="{00000000-0005-0000-0000-000009000000}"/>
    <cellStyle name="Pivot Table Title" xfId="5" xr:uid="{00000000-0005-0000-0000-00000A000000}"/>
    <cellStyle name="Pivot Table Value" xfId="6" xr:uid="{00000000-0005-0000-0000-00000B000000}"/>
  </cellStyles>
  <dxfs count="8">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numFmt numFmtId="19" formatCode="dd/mm/yyyy"/>
    </dxf>
    <dxf>
      <font>
        <b/>
        <i val="0"/>
        <strike val="0"/>
        <condense val="0"/>
        <extend val="0"/>
        <outline val="0"/>
        <shadow val="0"/>
        <u val="none"/>
        <vertAlign val="baseline"/>
        <sz val="11"/>
        <color rgb="FFFFFFFF"/>
        <name val="Cambria"/>
        <charset val="1"/>
        <scheme val="none"/>
      </font>
      <fill>
        <patternFill patternType="solid">
          <fgColor rgb="FF000080"/>
          <bgColor rgb="FF141C4B"/>
        </patternFill>
      </fill>
    </dxf>
  </dxfs>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F7A4D"/>
      <rgbColor rgb="FFB3B3B3"/>
      <rgbColor rgb="FF808080"/>
      <rgbColor rgb="FF9999FF"/>
      <rgbColor rgb="FF993366"/>
      <rgbColor rgb="FFFEF2F2"/>
      <rgbColor rgb="FFF1FB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D320"/>
      <rgbColor rgb="FFFF9900"/>
      <rgbColor rgb="FFD97706"/>
      <rgbColor rgb="FF666699"/>
      <rgbColor rgb="FF969696"/>
      <rgbColor rgb="FF004586"/>
      <rgbColor rgb="FF579D1C"/>
      <rgbColor rgb="FF003300"/>
      <rgbColor rgb="FF333300"/>
      <rgbColor rgb="FFFF420E"/>
      <rgbColor rgb="FF993366"/>
      <rgbColor rgb="FF6D28D9"/>
      <rgbColor rgb="FF141C4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Marketing campaign</a:t>
            </a:r>
            <a:r>
              <a:rPr lang="en-IN" baseline="0"/>
              <a:t> funnel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'Sheet8 - Q7 Answer'!$B$3</c:f>
              <c:strCache>
                <c:ptCount val="1"/>
                <c:pt idx="0">
                  <c:v>Total</c:v>
                </c:pt>
              </c:strCache>
            </c:strRef>
          </c:tx>
          <c:spPr>
            <a:solidFill>
              <a:schemeClr val="accent1"/>
            </a:solidFill>
            <a:ln>
              <a:noFill/>
            </a:ln>
            <a:effectLst/>
          </c:spPr>
          <c:invertIfNegative val="0"/>
          <c:cat>
            <c:strRef>
              <c:f>'Sheet8 - Q7 Answer'!$A$4:$A$7</c:f>
              <c:strCache>
                <c:ptCount val="4"/>
                <c:pt idx="0">
                  <c:v>Impressions</c:v>
                </c:pt>
                <c:pt idx="1">
                  <c:v>Clicks</c:v>
                </c:pt>
                <c:pt idx="2">
                  <c:v>Leads</c:v>
                </c:pt>
                <c:pt idx="3">
                  <c:v>Conversions</c:v>
                </c:pt>
              </c:strCache>
            </c:strRef>
          </c:cat>
          <c:val>
            <c:numRef>
              <c:f>'Sheet8 - Q7 Answer'!$B$4:$B$7</c:f>
              <c:numCache>
                <c:formatCode>General</c:formatCode>
                <c:ptCount val="4"/>
                <c:pt idx="0">
                  <c:v>5440000</c:v>
                </c:pt>
                <c:pt idx="1">
                  <c:v>145100</c:v>
                </c:pt>
                <c:pt idx="2">
                  <c:v>21000</c:v>
                </c:pt>
                <c:pt idx="3">
                  <c:v>3230</c:v>
                </c:pt>
              </c:numCache>
            </c:numRef>
          </c:val>
          <c:extLst>
            <c:ext xmlns:c16="http://schemas.microsoft.com/office/drawing/2014/chart" uri="{C3380CC4-5D6E-409C-BE32-E72D297353CC}">
              <c16:uniqueId val="{00000000-31FE-43A2-895C-98EB825E7197}"/>
            </c:ext>
          </c:extLst>
        </c:ser>
        <c:dLbls>
          <c:showLegendKey val="0"/>
          <c:showVal val="0"/>
          <c:showCatName val="0"/>
          <c:showSerName val="0"/>
          <c:showPercent val="0"/>
          <c:showBubbleSize val="0"/>
        </c:dLbls>
        <c:gapWidth val="219"/>
        <c:overlap val="-27"/>
        <c:axId val="1845460239"/>
        <c:axId val="1714305455"/>
      </c:barChart>
      <c:catAx>
        <c:axId val="184546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305455"/>
        <c:crosses val="autoZero"/>
        <c:auto val="1"/>
        <c:lblAlgn val="ctr"/>
        <c:lblOffset val="100"/>
        <c:noMultiLvlLbl val="0"/>
      </c:catAx>
      <c:valAx>
        <c:axId val="171430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46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Market</a:t>
            </a:r>
            <a:r>
              <a:rPr lang="en-IN" baseline="0"/>
              <a:t> Spend By Column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'Sheet10 - Q9 Dashboard'!$B$7</c:f>
              <c:strCache>
                <c:ptCount val="1"/>
                <c:pt idx="0">
                  <c:v>Total Spend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'Sheet10 - Q9 Dashboard'!$A$8:$A$11</c:f>
              <c:strCache>
                <c:ptCount val="4"/>
                <c:pt idx="0">
                  <c:v>Display</c:v>
                </c:pt>
                <c:pt idx="1">
                  <c:v>Email</c:v>
                </c:pt>
                <c:pt idx="2">
                  <c:v>Search</c:v>
                </c:pt>
                <c:pt idx="3">
                  <c:v>Social</c:v>
                </c:pt>
              </c:strCache>
            </c:strRef>
          </c:cat>
          <c:val>
            <c:numRef>
              <c:f>'Sheet10 - Q9 Dashboard'!$B$8:$B$11</c:f>
              <c:numCache>
                <c:formatCode>General</c:formatCode>
                <c:ptCount val="4"/>
                <c:pt idx="0">
                  <c:v>60000</c:v>
                </c:pt>
                <c:pt idx="1">
                  <c:v>37000</c:v>
                </c:pt>
                <c:pt idx="2">
                  <c:v>143000</c:v>
                </c:pt>
                <c:pt idx="3">
                  <c:v>97000</c:v>
                </c:pt>
              </c:numCache>
            </c:numRef>
          </c:val>
          <c:extLst>
            <c:ext xmlns:c16="http://schemas.microsoft.com/office/drawing/2014/chart" uri="{C3380CC4-5D6E-409C-BE32-E72D297353CC}">
              <c16:uniqueId val="{00000000-27A1-4603-ADF2-25407077615F}"/>
            </c:ext>
          </c:extLst>
        </c:ser>
        <c:dLbls>
          <c:dLblPos val="outEnd"/>
          <c:showLegendKey val="0"/>
          <c:showVal val="1"/>
          <c:showCatName val="0"/>
          <c:showSerName val="0"/>
          <c:showPercent val="0"/>
          <c:showBubbleSize val="0"/>
        </c:dLbls>
        <c:gapWidth val="219"/>
        <c:overlap val="-27"/>
        <c:axId val="779315727"/>
        <c:axId val="665552463"/>
      </c:barChart>
      <c:catAx>
        <c:axId val="77931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552463"/>
        <c:crosses val="autoZero"/>
        <c:auto val="1"/>
        <c:lblAlgn val="ctr"/>
        <c:lblOffset val="100"/>
        <c:noMultiLvlLbl val="0"/>
      </c:catAx>
      <c:valAx>
        <c:axId val="66555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31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Marketing</a:t>
            </a:r>
            <a:r>
              <a:rPr lang="en-US" baseline="0"/>
              <a:t> Spend Contribution by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'Sheet10 - Q9 Dashboard'!$B$7</c:f>
              <c:strCache>
                <c:ptCount val="1"/>
                <c:pt idx="0">
                  <c:v>Total Spend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52-4F3B-9D1D-ABE575E723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52-4F3B-9D1D-ABE575E723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52-4F3B-9D1D-ABE575E723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52-4F3B-9D1D-ABE575E723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'Sheet10 - Q9 Dashboard'!$A$8:$A$11</c:f>
              <c:strCache>
                <c:ptCount val="4"/>
                <c:pt idx="0">
                  <c:v>Display</c:v>
                </c:pt>
                <c:pt idx="1">
                  <c:v>Email</c:v>
                </c:pt>
                <c:pt idx="2">
                  <c:v>Search</c:v>
                </c:pt>
                <c:pt idx="3">
                  <c:v>Social</c:v>
                </c:pt>
              </c:strCache>
            </c:strRef>
          </c:cat>
          <c:val>
            <c:numRef>
              <c:f>'Sheet10 - Q9 Dashboard'!$B$8:$B$11</c:f>
              <c:numCache>
                <c:formatCode>General</c:formatCode>
                <c:ptCount val="4"/>
                <c:pt idx="0">
                  <c:v>60000</c:v>
                </c:pt>
                <c:pt idx="1">
                  <c:v>37000</c:v>
                </c:pt>
                <c:pt idx="2">
                  <c:v>143000</c:v>
                </c:pt>
                <c:pt idx="3">
                  <c:v>97000</c:v>
                </c:pt>
              </c:numCache>
            </c:numRef>
          </c:val>
          <c:extLst>
            <c:ext xmlns:c16="http://schemas.microsoft.com/office/drawing/2014/chart" uri="{C3380CC4-5D6E-409C-BE32-E72D297353CC}">
              <c16:uniqueId val="{00000000-BE31-4EDA-8595-41979051ECF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Marketing campaign Funnel</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rPr>
            <a:t>Marketing campaign Funnel</a:t>
          </a:r>
        </a:p>
      </cx:txPr>
    </cx:title>
    <cx:plotArea>
      <cx:plotAreaRegion>
        <cx:series layoutId="funnel" uniqueId="{00000000-BB16-4CED-9CF3-414578DCA60D}">
          <cx:tx>
            <cx:txData>
              <cx:f>_xlchart.v2.4</cx:f>
              <cx:v>Total</cx:v>
            </cx:txData>
          </cx:tx>
          <cx:dataLabels>
            <cx:visibility seriesName="0" categoryName="0" value="1"/>
          </cx:dataLabels>
          <cx:dataId val="0"/>
        </cx:series>
      </cx:plotAreaRegion>
      <cx:axis id="0">
        <cx:catScaling gapWidth="0.0599999987"/>
        <cx:title>
          <cx:tx>
            <cx:txData>
              <cx:v>Stages</cx:v>
            </cx:txData>
          </cx:tx>
          <cx:txPr>
            <a:bodyPr spcFirstLastPara="1" vertOverflow="ellipsis" horzOverflow="overflow" wrap="square" lIns="0" tIns="0" rIns="0" bIns="0" anchor="ctr" anchorCtr="1"/>
            <a:lstStyle/>
            <a:p>
              <a:pPr algn="ctr" rtl="0">
                <a:defRPr/>
              </a:pPr>
              <a:r>
                <a:rPr lang="en-US" sz="900" b="0" i="0" u="none" strike="noStrike" baseline="0">
                  <a:solidFill>
                    <a:srgbClr val="000000">
                      <a:lumMod val="65000"/>
                      <a:lumOff val="35000"/>
                    </a:srgbClr>
                  </a:solidFill>
                  <a:latin typeface="Calibri"/>
                </a:rPr>
                <a:t>Stages</a:t>
              </a:r>
            </a:p>
          </cx:txPr>
        </cx:titl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783405</xdr:colOff>
      <xdr:row>7</xdr:row>
      <xdr:rowOff>49658</xdr:rowOff>
    </xdr:from>
    <xdr:to>
      <xdr:col>7</xdr:col>
      <xdr:colOff>577922</xdr:colOff>
      <xdr:row>23</xdr:row>
      <xdr:rowOff>27398</xdr:rowOff>
    </xdr:to>
    <xdr:graphicFrame macro="">
      <xdr:nvGraphicFramePr>
        <xdr:cNvPr id="3" name="Chart 2">
          <a:extLst>
            <a:ext uri="{FF2B5EF4-FFF2-40B4-BE49-F238E27FC236}">
              <a16:creationId xmlns:a16="http://schemas.microsoft.com/office/drawing/2014/main" id="{7DF6203B-BD6E-27BD-1EE3-9EE223A07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1</xdr:col>
      <xdr:colOff>45720</xdr:colOff>
      <xdr:row>29</xdr:row>
      <xdr:rowOff>89535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3A3AB266-91BF-4DEB-A674-4ACFC3D6D44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3520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16</xdr:row>
      <xdr:rowOff>0</xdr:rowOff>
    </xdr:from>
    <xdr:to>
      <xdr:col>4</xdr:col>
      <xdr:colOff>594360</xdr:colOff>
      <xdr:row>23</xdr:row>
      <xdr:rowOff>91440</xdr:rowOff>
    </xdr:to>
    <mc:AlternateContent xmlns:mc="http://schemas.openxmlformats.org/markup-compatibility/2006" xmlns:tsle="http://schemas.microsoft.com/office/drawing/2012/timeslicer">
      <mc:Choice Requires="tsle">
        <xdr:graphicFrame macro="">
          <xdr:nvGraphicFramePr>
            <xdr:cNvPr id="3" name="Campign Date">
              <a:extLst>
                <a:ext uri="{FF2B5EF4-FFF2-40B4-BE49-F238E27FC236}">
                  <a16:creationId xmlns:a16="http://schemas.microsoft.com/office/drawing/2014/main" id="{8300F7D8-DA49-4A58-8BF3-83472791E7EC}"/>
                </a:ext>
              </a:extLst>
            </xdr:cNvPr>
            <xdr:cNvGraphicFramePr/>
          </xdr:nvGraphicFramePr>
          <xdr:xfrm>
            <a:off x="0" y="0"/>
            <a:ext cx="0" cy="0"/>
          </xdr:xfrm>
          <a:graphic>
            <a:graphicData uri="http://schemas.microsoft.com/office/drawing/2012/timeslicer">
              <tsle:timeslicer name="Campign Date"/>
            </a:graphicData>
          </a:graphic>
        </xdr:graphicFrame>
      </mc:Choice>
      <mc:Fallback xmlns="">
        <xdr:sp macro="" textlink="">
          <xdr:nvSpPr>
            <xdr:cNvPr id="0" name=""/>
            <xdr:cNvSpPr>
              <a:spLocks noTextEdit="1"/>
            </xdr:cNvSpPr>
          </xdr:nvSpPr>
          <xdr:spPr>
            <a:xfrm>
              <a:off x="1783080" y="35204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365760</xdr:colOff>
      <xdr:row>5</xdr:row>
      <xdr:rowOff>140970</xdr:rowOff>
    </xdr:from>
    <xdr:to>
      <xdr:col>11</xdr:col>
      <xdr:colOff>182880</xdr:colOff>
      <xdr:row>22</xdr:row>
      <xdr:rowOff>34290</xdr:rowOff>
    </xdr:to>
    <xdr:graphicFrame macro="">
      <xdr:nvGraphicFramePr>
        <xdr:cNvPr id="2" name="Chart 1">
          <a:extLst>
            <a:ext uri="{FF2B5EF4-FFF2-40B4-BE49-F238E27FC236}">
              <a16:creationId xmlns:a16="http://schemas.microsoft.com/office/drawing/2014/main" id="{B1AB2825-00EE-35B3-130B-D0AD026E89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6</xdr:row>
      <xdr:rowOff>0</xdr:rowOff>
    </xdr:from>
    <xdr:to>
      <xdr:col>19</xdr:col>
      <xdr:colOff>266700</xdr:colOff>
      <xdr:row>26</xdr:row>
      <xdr:rowOff>57150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2A6CDC84-2691-43E7-BE39-551233FAF5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721340" y="1005840"/>
              <a:ext cx="5814060" cy="34556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25</xdr:row>
      <xdr:rowOff>0</xdr:rowOff>
    </xdr:from>
    <xdr:to>
      <xdr:col>0</xdr:col>
      <xdr:colOff>1828800</xdr:colOff>
      <xdr:row>38</xdr:row>
      <xdr:rowOff>89535</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0E568A60-2948-4555-882B-7EED2B2B847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4221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1783080</xdr:colOff>
      <xdr:row>25</xdr:row>
      <xdr:rowOff>0</xdr:rowOff>
    </xdr:from>
    <xdr:to>
      <xdr:col>4</xdr:col>
      <xdr:colOff>739140</xdr:colOff>
      <xdr:row>32</xdr:row>
      <xdr:rowOff>91440</xdr:rowOff>
    </xdr:to>
    <mc:AlternateContent xmlns:mc="http://schemas.openxmlformats.org/markup-compatibility/2006" xmlns:tsle="http://schemas.microsoft.com/office/drawing/2012/timeslicer">
      <mc:Choice Requires="tsle">
        <xdr:graphicFrame macro="">
          <xdr:nvGraphicFramePr>
            <xdr:cNvPr id="5" name="Campign Date 1">
              <a:extLst>
                <a:ext uri="{FF2B5EF4-FFF2-40B4-BE49-F238E27FC236}">
                  <a16:creationId xmlns:a16="http://schemas.microsoft.com/office/drawing/2014/main" id="{DF45BF16-E667-448A-AF9E-D6373B9DD84E}"/>
                </a:ext>
              </a:extLst>
            </xdr:cNvPr>
            <xdr:cNvGraphicFramePr/>
          </xdr:nvGraphicFramePr>
          <xdr:xfrm>
            <a:off x="0" y="0"/>
            <a:ext cx="0" cy="0"/>
          </xdr:xfrm>
          <a:graphic>
            <a:graphicData uri="http://schemas.microsoft.com/office/drawing/2012/timeslicer">
              <tsle:timeslicer name="Campign Date 1"/>
            </a:graphicData>
          </a:graphic>
        </xdr:graphicFrame>
      </mc:Choice>
      <mc:Fallback xmlns="">
        <xdr:sp macro="" textlink="">
          <xdr:nvSpPr>
            <xdr:cNvPr id="0" name=""/>
            <xdr:cNvSpPr>
              <a:spLocks noTextEdit="1"/>
            </xdr:cNvSpPr>
          </xdr:nvSpPr>
          <xdr:spPr>
            <a:xfrm>
              <a:off x="1783080" y="42214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533400</xdr:colOff>
      <xdr:row>24</xdr:row>
      <xdr:rowOff>19050</xdr:rowOff>
    </xdr:from>
    <xdr:to>
      <xdr:col>11</xdr:col>
      <xdr:colOff>350520</xdr:colOff>
      <xdr:row>39</xdr:row>
      <xdr:rowOff>19050</xdr:rowOff>
    </xdr:to>
    <xdr:graphicFrame macro="">
      <xdr:nvGraphicFramePr>
        <xdr:cNvPr id="6" name="Chart 5">
          <a:extLst>
            <a:ext uri="{FF2B5EF4-FFF2-40B4-BE49-F238E27FC236}">
              <a16:creationId xmlns:a16="http://schemas.microsoft.com/office/drawing/2014/main" id="{D41FC551-5BB8-9B73-496B-8DE0A2844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thul Shankar" refreshedDate="46312.590184953704" createdVersion="8" refreshedVersion="8" minRefreshableVersion="3" recordCount="12" xr:uid="{34EDE1FC-6CCD-4E42-BF29-9777986AD95F}">
  <cacheSource type="worksheet">
    <worksheetSource name="Q1TableMkt"/>
  </cacheSource>
  <cacheFields count="10">
    <cacheField name="Campaign ID" numFmtId="0">
      <sharedItems/>
    </cacheField>
    <cacheField name="Campaign Name (Cleaned)" numFmtId="0">
      <sharedItems/>
    </cacheField>
    <cacheField name="Channel" numFmtId="0">
      <sharedItems count="4">
        <s v="Email"/>
        <s v="Search"/>
        <s v="Social"/>
        <s v="Display"/>
      </sharedItems>
    </cacheField>
    <cacheField name="Month" numFmtId="0">
      <sharedItems count="3">
        <s v="Jan"/>
        <s v="Feb"/>
        <s v="Mar"/>
      </sharedItems>
    </cacheField>
    <cacheField name="Spend" numFmtId="0">
      <sharedItems containsSemiMixedTypes="0" containsString="0" containsNumber="1" containsInteger="1" minValue="10000" maxValue="50000"/>
    </cacheField>
    <cacheField name="Impressions" numFmtId="0">
      <sharedItems containsSemiMixedTypes="0" containsString="0" containsNumber="1" containsInteger="1" minValue="90000" maxValue="900000"/>
    </cacheField>
    <cacheField name="Clicks" numFmtId="0">
      <sharedItems containsSemiMixedTypes="0" containsString="0" containsNumber="1" containsInteger="1" minValue="3600" maxValue="24000"/>
    </cacheField>
    <cacheField name="Leads" numFmtId="0">
      <sharedItems containsSemiMixedTypes="0" containsString="0" containsNumber="1" containsInteger="1" minValue="720" maxValue="3000"/>
    </cacheField>
    <cacheField name="Conversions" numFmtId="0">
      <sharedItems containsSemiMixedTypes="0" containsString="0" containsNumber="1" containsInteger="1" minValue="82" maxValue="540"/>
    </cacheField>
    <cacheField name="Campign Date" numFmtId="14">
      <sharedItems containsSemiMixedTypes="0" containsNonDate="0" containsDate="1" containsString="0" minDate="2026-01-01T00:00:00" maxDate="2026-03-02T00:00:00" count="3">
        <d v="2026-01-01T00:00:00"/>
        <d v="2026-02-01T00:00:00"/>
        <d v="2026-03-01T00:00:00"/>
      </sharedItems>
    </cacheField>
  </cacheFields>
  <extLst>
    <ext xmlns:x14="http://schemas.microsoft.com/office/spreadsheetml/2009/9/main" uri="{725AE2AE-9491-48be-B2B4-4EB974FC3084}">
      <x14:pivotCacheDefinition pivotCacheId="637974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C01"/>
    <s v="Spring Sale Email"/>
    <x v="0"/>
    <x v="0"/>
    <n v="15000"/>
    <n v="120000"/>
    <n v="4800"/>
    <n v="960"/>
    <n v="210"/>
    <x v="0"/>
  </r>
  <r>
    <s v="C02"/>
    <s v="Search Brand Terms"/>
    <x v="1"/>
    <x v="0"/>
    <n v="45000"/>
    <n v="300000"/>
    <n v="15000"/>
    <n v="3000"/>
    <n v="540"/>
    <x v="0"/>
  </r>
  <r>
    <s v="C03"/>
    <s v="Social Reels Promo"/>
    <x v="2"/>
    <x v="0"/>
    <n v="30000"/>
    <n v="500000"/>
    <n v="20000"/>
    <n v="2500"/>
    <n v="300"/>
    <x v="0"/>
  </r>
  <r>
    <s v="C04"/>
    <s v="Display Retarget"/>
    <x v="3"/>
    <x v="0"/>
    <n v="18000"/>
    <n v="800000"/>
    <n v="8000"/>
    <n v="800"/>
    <n v="96"/>
    <x v="0"/>
  </r>
  <r>
    <s v="C05"/>
    <s v="New Year Email"/>
    <x v="0"/>
    <x v="1"/>
    <n v="12000"/>
    <n v="100000"/>
    <n v="4200"/>
    <n v="840"/>
    <n v="189"/>
    <x v="1"/>
  </r>
  <r>
    <s v="C06"/>
    <s v="Search Generic Terms"/>
    <x v="1"/>
    <x v="1"/>
    <n v="50000"/>
    <n v="320000"/>
    <n v="14000"/>
    <n v="2800"/>
    <n v="476"/>
    <x v="1"/>
  </r>
  <r>
    <s v="C07"/>
    <s v="Social Influencer"/>
    <x v="2"/>
    <x v="1"/>
    <n v="35000"/>
    <n v="550000"/>
    <n v="22000"/>
    <n v="2200"/>
    <n v="264"/>
    <x v="1"/>
  </r>
  <r>
    <s v="C08"/>
    <s v="Display Prospecting"/>
    <x v="3"/>
    <x v="1"/>
    <n v="20000"/>
    <n v="900000"/>
    <n v="7500"/>
    <n v="750"/>
    <n v="82"/>
    <x v="1"/>
  </r>
  <r>
    <s v="C09"/>
    <s v="Clearance Email"/>
    <x v="0"/>
    <x v="2"/>
    <n v="10000"/>
    <n v="90000"/>
    <n v="3600"/>
    <n v="720"/>
    <n v="158"/>
    <x v="2"/>
  </r>
  <r>
    <s v="C10"/>
    <s v="Search Competitor Terms"/>
    <x v="1"/>
    <x v="2"/>
    <n v="48000"/>
    <n v="310000"/>
    <n v="13500"/>
    <n v="2700"/>
    <n v="459"/>
    <x v="2"/>
  </r>
  <r>
    <s v="C11"/>
    <s v="Social Contest"/>
    <x v="2"/>
    <x v="2"/>
    <n v="32000"/>
    <n v="600000"/>
    <n v="24000"/>
    <n v="2880"/>
    <n v="346"/>
    <x v="2"/>
  </r>
  <r>
    <s v="C12"/>
    <s v="Display Lookalike"/>
    <x v="3"/>
    <x v="2"/>
    <n v="22000"/>
    <n v="850000"/>
    <n v="8500"/>
    <n v="850"/>
    <n v="11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A9939E-AEA2-4F5A-BABD-8417CCFCA0C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3:P10" firstHeaderRow="1" firstDataRow="3" firstDataCol="1"/>
  <pivotFields count="10">
    <pivotField showAll="0"/>
    <pivotField showAll="0"/>
    <pivotField axis="axisRow" showAll="0">
      <items count="5">
        <item x="3"/>
        <item x="0"/>
        <item x="1"/>
        <item x="2"/>
        <item t="default"/>
      </items>
    </pivotField>
    <pivotField axis="axisCol" showAll="0">
      <items count="4">
        <item x="0"/>
        <item x="1"/>
        <item x="2"/>
        <item t="default"/>
      </items>
    </pivotField>
    <pivotField dataField="1" showAll="0"/>
    <pivotField showAll="0"/>
    <pivotField showAll="0"/>
    <pivotField showAll="0"/>
    <pivotField dataField="1" showAll="0"/>
    <pivotField numFmtId="14" showAll="0">
      <items count="4">
        <item x="0"/>
        <item x="1"/>
        <item x="2"/>
        <item t="default"/>
      </items>
    </pivotField>
  </pivotFields>
  <rowFields count="1">
    <field x="2"/>
  </rowFields>
  <rowItems count="5">
    <i>
      <x/>
    </i>
    <i>
      <x v="1"/>
    </i>
    <i>
      <x v="2"/>
    </i>
    <i>
      <x v="3"/>
    </i>
    <i t="grand">
      <x/>
    </i>
  </rowItems>
  <colFields count="2">
    <field x="3"/>
    <field x="-2"/>
  </colFields>
  <colItems count="8">
    <i>
      <x/>
      <x/>
    </i>
    <i r="1" i="1">
      <x v="1"/>
    </i>
    <i>
      <x v="1"/>
      <x/>
    </i>
    <i r="1" i="1">
      <x v="1"/>
    </i>
    <i>
      <x v="2"/>
      <x/>
    </i>
    <i r="1" i="1">
      <x v="1"/>
    </i>
    <i t="grand">
      <x/>
    </i>
    <i t="grand" i="1">
      <x/>
    </i>
  </colItems>
  <dataFields count="2">
    <dataField name="Sum of Spend" fld="4" baseField="0" baseItem="0"/>
    <dataField name="Sum of Conversion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66BAD81-CE96-4E8C-9E8B-CE70432CA3B9}" sourceName="Month">
  <pivotTables>
    <pivotTable tabId="6" name="PivotTable1"/>
  </pivotTables>
  <data>
    <tabular pivotCacheId="63797403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056CB68-DD9E-43C8-AE9F-080A051FBF83}"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06356177-8228-4D00-9588-8A32544C4C48}"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7D2EE7-CA8B-49B2-9392-020B73E88AA2}" name="Q1TableMkt" displayName="Q1TableMkt" ref="A3:J15" totalsRowShown="0" headerRowDxfId="7">
  <autoFilter ref="A3:J15" xr:uid="{8F7D2EE7-CA8B-49B2-9392-020B73E88AA2}"/>
  <tableColumns count="10">
    <tableColumn id="1" xr3:uid="{CC0BA0B2-2097-4E83-A6BA-ECA2690CCD32}" name="Campaign ID">
      <calculatedColumnFormula>'Sheet1 - Dataset'!A2</calculatedColumnFormula>
    </tableColumn>
    <tableColumn id="2" xr3:uid="{23A593B2-4A78-4A20-B36E-6083A0214F72}" name="Campaign Name (Cleaned)">
      <calculatedColumnFormula>PROPER(TRIM('Sheet1 - Dataset'!B2))</calculatedColumnFormula>
    </tableColumn>
    <tableColumn id="3" xr3:uid="{BFDD10C4-129D-40A2-BA51-B77BB9FAD102}" name="Channel">
      <calculatedColumnFormula>'Sheet1 - Dataset'!C2</calculatedColumnFormula>
    </tableColumn>
    <tableColumn id="4" xr3:uid="{4A4AD8ED-99EC-4631-A89C-D91761DE9C72}" name="Month">
      <calculatedColumnFormula>'Sheet1 - Dataset'!D2</calculatedColumnFormula>
    </tableColumn>
    <tableColumn id="5" xr3:uid="{8B6293A3-F1DE-4A18-A263-F34C97CEF508}" name="Spend">
      <calculatedColumnFormula>'Sheet1 - Dataset'!E2</calculatedColumnFormula>
    </tableColumn>
    <tableColumn id="6" xr3:uid="{7FF89476-2089-48C1-A7D4-FF510F5D1DAD}" name="Impressions">
      <calculatedColumnFormula>'Sheet1 - Dataset'!F2</calculatedColumnFormula>
    </tableColumn>
    <tableColumn id="7" xr3:uid="{6DC30363-052C-42F5-9FE6-6999853D72C7}" name="Clicks">
      <calculatedColumnFormula>'Sheet1 - Dataset'!G2</calculatedColumnFormula>
    </tableColumn>
    <tableColumn id="8" xr3:uid="{C192088D-3E80-48D6-8196-A29DEF0CFD7E}" name="Leads">
      <calculatedColumnFormula>'Sheet1 - Dataset'!H2</calculatedColumnFormula>
    </tableColumn>
    <tableColumn id="9" xr3:uid="{B22F8D1C-2852-4D9D-9464-9A051D7BA376}" name="Conversions">
      <calculatedColumnFormula>'Sheet1 - Dataset'!I2</calculatedColumnFormula>
    </tableColumn>
    <tableColumn id="10" xr3:uid="{AC3513E8-993E-4B75-A9B7-52A00693534D}" name="Campign Date" dataDxfId="6">
      <calculatedColumnFormula>DATE(2026,MATCH(D4,{"Jan","Feb","mar"},0),1)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ampign_Date" xr10:uid="{64C3F17B-9892-41DE-B93C-3D4727DD96FC}" sourceName="Campign Date">
  <pivotTables>
    <pivotTable tabId="6" name="PivotTable1"/>
  </pivotTables>
  <state minimalRefreshVersion="6" lastRefreshVersion="6" pivotCacheId="637974031"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ampign Date" xr10:uid="{64580CA7-6851-4F5C-8EED-C61DCE19E70C}" cache="NativeTimeline_Campign_Date" caption="Campign Date" level="2" selectionLevel="2" scrollPosition="2026-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ampign Date 1" xr10:uid="{87EE2E30-5323-4795-AEED-89B958247480}" cache="NativeTimeline_Campign_Date" caption="Campign Date" level="2" selectionLevel="2" scrollPosition="2026-06-06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zoomScale="50" zoomScaleNormal="50" workbookViewId="0"/>
  </sheetViews>
  <sheetFormatPr defaultColWidth="8.6640625" defaultRowHeight="14.4" x14ac:dyDescent="0.3"/>
  <cols>
    <col min="1" max="1" width="10" customWidth="1"/>
    <col min="2" max="2" width="20" customWidth="1"/>
    <col min="3" max="3" width="10" customWidth="1"/>
    <col min="4" max="4" width="8" customWidth="1"/>
    <col min="5" max="5" width="10" customWidth="1"/>
    <col min="6" max="6" width="13" customWidth="1"/>
    <col min="7" max="7" width="9" customWidth="1"/>
    <col min="8" max="8" width="8" customWidth="1"/>
    <col min="9" max="9" width="12" customWidth="1"/>
    <col min="11" max="11" width="14" customWidth="1"/>
    <col min="12" max="12" width="16" customWidth="1"/>
  </cols>
  <sheetData>
    <row r="1" spans="1:12" ht="15" customHeight="1" x14ac:dyDescent="0.3">
      <c r="A1" s="1" t="s">
        <v>0</v>
      </c>
      <c r="B1" s="1" t="s">
        <v>1</v>
      </c>
      <c r="C1" s="1" t="s">
        <v>2</v>
      </c>
      <c r="D1" s="1" t="s">
        <v>3</v>
      </c>
      <c r="E1" s="1" t="s">
        <v>4</v>
      </c>
      <c r="F1" s="1" t="s">
        <v>5</v>
      </c>
      <c r="G1" s="1" t="s">
        <v>6</v>
      </c>
      <c r="H1" s="1" t="s">
        <v>7</v>
      </c>
      <c r="I1" s="1" t="s">
        <v>8</v>
      </c>
      <c r="K1" s="2" t="s">
        <v>9</v>
      </c>
    </row>
    <row r="2" spans="1:12" ht="15" customHeight="1" x14ac:dyDescent="0.3">
      <c r="A2" t="s">
        <v>10</v>
      </c>
      <c r="B2" t="s">
        <v>11</v>
      </c>
      <c r="C2" t="s">
        <v>12</v>
      </c>
      <c r="D2" t="s">
        <v>13</v>
      </c>
      <c r="E2">
        <v>15000</v>
      </c>
      <c r="F2">
        <v>120000</v>
      </c>
      <c r="G2">
        <v>4800</v>
      </c>
      <c r="H2">
        <v>960</v>
      </c>
      <c r="I2">
        <v>210</v>
      </c>
      <c r="K2" s="1" t="s">
        <v>2</v>
      </c>
      <c r="L2" s="1" t="s">
        <v>14</v>
      </c>
    </row>
    <row r="3" spans="1:12" ht="15" customHeight="1" x14ac:dyDescent="0.3">
      <c r="A3" t="s">
        <v>15</v>
      </c>
      <c r="B3" t="s">
        <v>16</v>
      </c>
      <c r="C3" t="s">
        <v>17</v>
      </c>
      <c r="D3" t="s">
        <v>13</v>
      </c>
      <c r="E3">
        <v>45000</v>
      </c>
      <c r="F3">
        <v>300000</v>
      </c>
      <c r="G3">
        <v>15000</v>
      </c>
      <c r="H3">
        <v>3000</v>
      </c>
      <c r="I3">
        <v>540</v>
      </c>
      <c r="K3" t="s">
        <v>12</v>
      </c>
      <c r="L3" t="s">
        <v>18</v>
      </c>
    </row>
    <row r="4" spans="1:12" ht="15" customHeight="1" x14ac:dyDescent="0.3">
      <c r="A4" t="s">
        <v>19</v>
      </c>
      <c r="B4" t="s">
        <v>20</v>
      </c>
      <c r="C4" t="s">
        <v>21</v>
      </c>
      <c r="D4" t="s">
        <v>13</v>
      </c>
      <c r="E4">
        <v>30000</v>
      </c>
      <c r="F4">
        <v>500000</v>
      </c>
      <c r="G4">
        <v>20000</v>
      </c>
      <c r="H4">
        <v>2500</v>
      </c>
      <c r="I4">
        <v>300</v>
      </c>
      <c r="K4" t="s">
        <v>17</v>
      </c>
      <c r="L4" t="s">
        <v>22</v>
      </c>
    </row>
    <row r="5" spans="1:12" ht="15" customHeight="1" x14ac:dyDescent="0.3">
      <c r="A5" t="s">
        <v>23</v>
      </c>
      <c r="B5" t="s">
        <v>24</v>
      </c>
      <c r="C5" t="s">
        <v>25</v>
      </c>
      <c r="D5" t="s">
        <v>13</v>
      </c>
      <c r="E5">
        <v>18000</v>
      </c>
      <c r="F5">
        <v>800000</v>
      </c>
      <c r="G5">
        <v>8000</v>
      </c>
      <c r="H5">
        <v>800</v>
      </c>
      <c r="I5">
        <v>96</v>
      </c>
      <c r="K5" t="s">
        <v>21</v>
      </c>
      <c r="L5" t="s">
        <v>26</v>
      </c>
    </row>
    <row r="6" spans="1:12" ht="15" customHeight="1" x14ac:dyDescent="0.3">
      <c r="A6" t="s">
        <v>27</v>
      </c>
      <c r="B6" t="s">
        <v>28</v>
      </c>
      <c r="C6" t="s">
        <v>12</v>
      </c>
      <c r="D6" t="s">
        <v>29</v>
      </c>
      <c r="E6">
        <v>12000</v>
      </c>
      <c r="F6">
        <v>100000</v>
      </c>
      <c r="G6">
        <v>4200</v>
      </c>
      <c r="H6">
        <v>840</v>
      </c>
      <c r="I6">
        <v>189</v>
      </c>
      <c r="K6" t="s">
        <v>25</v>
      </c>
      <c r="L6" t="s">
        <v>30</v>
      </c>
    </row>
    <row r="7" spans="1:12" ht="15" customHeight="1" x14ac:dyDescent="0.3">
      <c r="A7" t="s">
        <v>31</v>
      </c>
      <c r="B7" t="s">
        <v>32</v>
      </c>
      <c r="C7" t="s">
        <v>17</v>
      </c>
      <c r="D7" t="s">
        <v>29</v>
      </c>
      <c r="E7">
        <v>50000</v>
      </c>
      <c r="F7">
        <v>320000</v>
      </c>
      <c r="G7">
        <v>14000</v>
      </c>
      <c r="H7">
        <v>2800</v>
      </c>
      <c r="I7">
        <v>476</v>
      </c>
    </row>
    <row r="8" spans="1:12" ht="15" customHeight="1" x14ac:dyDescent="0.3">
      <c r="A8" t="s">
        <v>33</v>
      </c>
      <c r="B8" t="s">
        <v>34</v>
      </c>
      <c r="C8" t="s">
        <v>21</v>
      </c>
      <c r="D8" t="s">
        <v>29</v>
      </c>
      <c r="E8">
        <v>35000</v>
      </c>
      <c r="F8">
        <v>550000</v>
      </c>
      <c r="G8">
        <v>22000</v>
      </c>
      <c r="H8">
        <v>2200</v>
      </c>
      <c r="I8">
        <v>264</v>
      </c>
    </row>
    <row r="9" spans="1:12" ht="15" customHeight="1" x14ac:dyDescent="0.3">
      <c r="A9" t="s">
        <v>35</v>
      </c>
      <c r="B9" t="s">
        <v>36</v>
      </c>
      <c r="C9" t="s">
        <v>25</v>
      </c>
      <c r="D9" t="s">
        <v>29</v>
      </c>
      <c r="E9">
        <v>20000</v>
      </c>
      <c r="F9">
        <v>900000</v>
      </c>
      <c r="G9">
        <v>7500</v>
      </c>
      <c r="H9">
        <v>750</v>
      </c>
      <c r="I9">
        <v>82</v>
      </c>
    </row>
    <row r="10" spans="1:12" ht="15" customHeight="1" x14ac:dyDescent="0.3">
      <c r="A10" t="s">
        <v>37</v>
      </c>
      <c r="B10" t="s">
        <v>38</v>
      </c>
      <c r="C10" t="s">
        <v>12</v>
      </c>
      <c r="D10" t="s">
        <v>39</v>
      </c>
      <c r="E10">
        <v>10000</v>
      </c>
      <c r="F10">
        <v>90000</v>
      </c>
      <c r="G10">
        <v>3600</v>
      </c>
      <c r="H10">
        <v>720</v>
      </c>
      <c r="I10">
        <v>158</v>
      </c>
    </row>
    <row r="11" spans="1:12" ht="15" customHeight="1" x14ac:dyDescent="0.3">
      <c r="A11" t="s">
        <v>40</v>
      </c>
      <c r="B11" t="s">
        <v>41</v>
      </c>
      <c r="C11" t="s">
        <v>17</v>
      </c>
      <c r="D11" t="s">
        <v>39</v>
      </c>
      <c r="E11">
        <v>48000</v>
      </c>
      <c r="F11">
        <v>310000</v>
      </c>
      <c r="G11">
        <v>13500</v>
      </c>
      <c r="H11">
        <v>2700</v>
      </c>
      <c r="I11">
        <v>459</v>
      </c>
    </row>
    <row r="12" spans="1:12" ht="15" customHeight="1" x14ac:dyDescent="0.3">
      <c r="A12" t="s">
        <v>42</v>
      </c>
      <c r="B12" t="s">
        <v>43</v>
      </c>
      <c r="C12" t="s">
        <v>21</v>
      </c>
      <c r="D12" t="s">
        <v>39</v>
      </c>
      <c r="E12">
        <v>32000</v>
      </c>
      <c r="F12">
        <v>600000</v>
      </c>
      <c r="G12">
        <v>24000</v>
      </c>
      <c r="H12">
        <v>2880</v>
      </c>
      <c r="I12">
        <v>346</v>
      </c>
    </row>
    <row r="13" spans="1:12" ht="15" customHeight="1" x14ac:dyDescent="0.3">
      <c r="A13" t="s">
        <v>44</v>
      </c>
      <c r="B13" t="s">
        <v>45</v>
      </c>
      <c r="C13" t="s">
        <v>25</v>
      </c>
      <c r="D13" t="s">
        <v>39</v>
      </c>
      <c r="E13">
        <v>22000</v>
      </c>
      <c r="F13">
        <v>850000</v>
      </c>
      <c r="G13">
        <v>8500</v>
      </c>
      <c r="H13">
        <v>850</v>
      </c>
      <c r="I13">
        <v>110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5"/>
  <sheetViews>
    <sheetView topLeftCell="C1" zoomScaleNormal="100" workbookViewId="0">
      <selection activeCell="D4" sqref="D4"/>
    </sheetView>
  </sheetViews>
  <sheetFormatPr defaultColWidth="8.6640625" defaultRowHeight="14.4" x14ac:dyDescent="0.3"/>
  <cols>
    <col min="1" max="1" width="14.6640625" customWidth="1"/>
    <col min="2" max="2" width="27.44140625" customWidth="1"/>
    <col min="3" max="3" width="10.5546875" customWidth="1"/>
    <col min="4" max="4" width="8.88671875" customWidth="1"/>
    <col min="5" max="5" width="10" customWidth="1"/>
    <col min="6" max="6" width="14.21875" customWidth="1"/>
    <col min="7" max="7" width="9" customWidth="1"/>
    <col min="8" max="8" width="8.33203125" customWidth="1"/>
    <col min="9" max="9" width="14.21875" customWidth="1"/>
    <col min="10" max="10" width="10.33203125" bestFit="1" customWidth="1"/>
  </cols>
  <sheetData>
    <row r="1" spans="1:10" ht="21.75" customHeight="1" x14ac:dyDescent="0.3">
      <c r="A1" s="50" t="s">
        <v>46</v>
      </c>
      <c r="B1" s="51"/>
      <c r="C1" s="51"/>
      <c r="D1" s="51"/>
      <c r="E1" s="51"/>
      <c r="F1" s="51"/>
      <c r="G1" s="51"/>
      <c r="H1" s="51"/>
      <c r="I1" s="51"/>
    </row>
    <row r="3" spans="1:10" ht="15" customHeight="1" x14ac:dyDescent="0.3">
      <c r="A3" s="1" t="s">
        <v>0</v>
      </c>
      <c r="B3" s="1" t="s">
        <v>47</v>
      </c>
      <c r="C3" s="1" t="s">
        <v>2</v>
      </c>
      <c r="D3" s="1" t="s">
        <v>3</v>
      </c>
      <c r="E3" s="1" t="s">
        <v>4</v>
      </c>
      <c r="F3" s="1" t="s">
        <v>5</v>
      </c>
      <c r="G3" s="1" t="s">
        <v>6</v>
      </c>
      <c r="H3" s="1" t="s">
        <v>7</v>
      </c>
      <c r="I3" s="1" t="s">
        <v>8</v>
      </c>
      <c r="J3" s="1" t="s">
        <v>100</v>
      </c>
    </row>
    <row r="4" spans="1:10" ht="15" customHeight="1" x14ac:dyDescent="0.3">
      <c r="A4" t="str">
        <f>'Sheet1 - Dataset'!A2</f>
        <v>C01</v>
      </c>
      <c r="B4" t="str">
        <f>PROPER(TRIM('Sheet1 - Dataset'!B2))</f>
        <v>Spring Sale Email</v>
      </c>
      <c r="C4" t="str">
        <f>'Sheet1 - Dataset'!C2</f>
        <v>Email</v>
      </c>
      <c r="D4" t="str">
        <f>'Sheet1 - Dataset'!D2</f>
        <v>Jan</v>
      </c>
      <c r="E4">
        <f>'Sheet1 - Dataset'!E2</f>
        <v>15000</v>
      </c>
      <c r="F4">
        <f>'Sheet1 - Dataset'!F2</f>
        <v>120000</v>
      </c>
      <c r="G4">
        <f>'Sheet1 - Dataset'!G2</f>
        <v>4800</v>
      </c>
      <c r="H4">
        <f>'Sheet1 - Dataset'!H2</f>
        <v>960</v>
      </c>
      <c r="I4">
        <f>'Sheet1 - Dataset'!I2</f>
        <v>210</v>
      </c>
      <c r="J4" s="48">
        <f>DATE(2026,MATCH(D4,{"Jan","Feb","mar"},0),1)</f>
        <v>46023</v>
      </c>
    </row>
    <row r="5" spans="1:10" ht="15" customHeight="1" x14ac:dyDescent="0.3">
      <c r="A5" t="str">
        <f>'Sheet1 - Dataset'!A3</f>
        <v>C02</v>
      </c>
      <c r="B5" t="str">
        <f>PROPER(TRIM('Sheet1 - Dataset'!B3))</f>
        <v>Search Brand Terms</v>
      </c>
      <c r="C5" t="str">
        <f>'Sheet1 - Dataset'!C3</f>
        <v>Search</v>
      </c>
      <c r="D5" t="str">
        <f>'Sheet1 - Dataset'!D3</f>
        <v>Jan</v>
      </c>
      <c r="E5">
        <f>'Sheet1 - Dataset'!E3</f>
        <v>45000</v>
      </c>
      <c r="F5">
        <f>'Sheet1 - Dataset'!F3</f>
        <v>300000</v>
      </c>
      <c r="G5">
        <f>'Sheet1 - Dataset'!G3</f>
        <v>15000</v>
      </c>
      <c r="H5">
        <f>'Sheet1 - Dataset'!H3</f>
        <v>3000</v>
      </c>
      <c r="I5">
        <f>'Sheet1 - Dataset'!I3</f>
        <v>540</v>
      </c>
      <c r="J5" s="48">
        <f>DATE(2026,MATCH(D5,{"Jan","Feb","mar"},0),1)</f>
        <v>46023</v>
      </c>
    </row>
    <row r="6" spans="1:10" ht="15" customHeight="1" x14ac:dyDescent="0.3">
      <c r="A6" t="str">
        <f>'Sheet1 - Dataset'!A4</f>
        <v>C03</v>
      </c>
      <c r="B6" t="str">
        <f>PROPER(TRIM('Sheet1 - Dataset'!B4))</f>
        <v>Social Reels Promo</v>
      </c>
      <c r="C6" t="str">
        <f>'Sheet1 - Dataset'!C4</f>
        <v>Social</v>
      </c>
      <c r="D6" t="str">
        <f>'Sheet1 - Dataset'!D4</f>
        <v>Jan</v>
      </c>
      <c r="E6">
        <f>'Sheet1 - Dataset'!E4</f>
        <v>30000</v>
      </c>
      <c r="F6">
        <f>'Sheet1 - Dataset'!F4</f>
        <v>500000</v>
      </c>
      <c r="G6">
        <f>'Sheet1 - Dataset'!G4</f>
        <v>20000</v>
      </c>
      <c r="H6">
        <f>'Sheet1 - Dataset'!H4</f>
        <v>2500</v>
      </c>
      <c r="I6">
        <f>'Sheet1 - Dataset'!I4</f>
        <v>300</v>
      </c>
      <c r="J6" s="48">
        <f>DATE(2026,MATCH(D6,{"Jan","Feb","mar"},0),1)</f>
        <v>46023</v>
      </c>
    </row>
    <row r="7" spans="1:10" ht="15" customHeight="1" x14ac:dyDescent="0.3">
      <c r="A7" t="str">
        <f>'Sheet1 - Dataset'!A5</f>
        <v>C04</v>
      </c>
      <c r="B7" t="str">
        <f>PROPER(TRIM('Sheet1 - Dataset'!B5))</f>
        <v>Display Retarget</v>
      </c>
      <c r="C7" t="str">
        <f>'Sheet1 - Dataset'!C5</f>
        <v>Display</v>
      </c>
      <c r="D7" t="str">
        <f>'Sheet1 - Dataset'!D5</f>
        <v>Jan</v>
      </c>
      <c r="E7">
        <f>'Sheet1 - Dataset'!E5</f>
        <v>18000</v>
      </c>
      <c r="F7">
        <f>'Sheet1 - Dataset'!F5</f>
        <v>800000</v>
      </c>
      <c r="G7">
        <f>'Sheet1 - Dataset'!G5</f>
        <v>8000</v>
      </c>
      <c r="H7">
        <f>'Sheet1 - Dataset'!H5</f>
        <v>800</v>
      </c>
      <c r="I7">
        <f>'Sheet1 - Dataset'!I5</f>
        <v>96</v>
      </c>
      <c r="J7" s="48">
        <f>DATE(2026,MATCH(D7,{"Jan","Feb","mar"},0),1)</f>
        <v>46023</v>
      </c>
    </row>
    <row r="8" spans="1:10" ht="15" customHeight="1" x14ac:dyDescent="0.3">
      <c r="A8" t="str">
        <f>'Sheet1 - Dataset'!A6</f>
        <v>C05</v>
      </c>
      <c r="B8" t="str">
        <f>PROPER(TRIM('Sheet1 - Dataset'!B6))</f>
        <v>New Year Email</v>
      </c>
      <c r="C8" t="str">
        <f>'Sheet1 - Dataset'!C6</f>
        <v>Email</v>
      </c>
      <c r="D8" t="str">
        <f>'Sheet1 - Dataset'!D6</f>
        <v>Feb</v>
      </c>
      <c r="E8">
        <f>'Sheet1 - Dataset'!E6</f>
        <v>12000</v>
      </c>
      <c r="F8">
        <f>'Sheet1 - Dataset'!F6</f>
        <v>100000</v>
      </c>
      <c r="G8">
        <f>'Sheet1 - Dataset'!G6</f>
        <v>4200</v>
      </c>
      <c r="H8">
        <f>'Sheet1 - Dataset'!H6</f>
        <v>840</v>
      </c>
      <c r="I8">
        <f>'Sheet1 - Dataset'!I6</f>
        <v>189</v>
      </c>
      <c r="J8" s="48">
        <f>DATE(2026,MATCH(D8,{"Jan","Feb","mar"},0),1)</f>
        <v>46054</v>
      </c>
    </row>
    <row r="9" spans="1:10" ht="15" customHeight="1" x14ac:dyDescent="0.3">
      <c r="A9" t="str">
        <f>'Sheet1 - Dataset'!A7</f>
        <v>C06</v>
      </c>
      <c r="B9" t="str">
        <f>PROPER(TRIM('Sheet1 - Dataset'!B7))</f>
        <v>Search Generic Terms</v>
      </c>
      <c r="C9" t="str">
        <f>'Sheet1 - Dataset'!C7</f>
        <v>Search</v>
      </c>
      <c r="D9" t="str">
        <f>'Sheet1 - Dataset'!D7</f>
        <v>Feb</v>
      </c>
      <c r="E9">
        <f>'Sheet1 - Dataset'!E7</f>
        <v>50000</v>
      </c>
      <c r="F9">
        <f>'Sheet1 - Dataset'!F7</f>
        <v>320000</v>
      </c>
      <c r="G9">
        <f>'Sheet1 - Dataset'!G7</f>
        <v>14000</v>
      </c>
      <c r="H9">
        <f>'Sheet1 - Dataset'!H7</f>
        <v>2800</v>
      </c>
      <c r="I9">
        <f>'Sheet1 - Dataset'!I7</f>
        <v>476</v>
      </c>
      <c r="J9" s="48">
        <f>DATE(2026,MATCH(D9,{"Jan","Feb","mar"},0),1)</f>
        <v>46054</v>
      </c>
    </row>
    <row r="10" spans="1:10" ht="15" customHeight="1" x14ac:dyDescent="0.3">
      <c r="A10" t="str">
        <f>'Sheet1 - Dataset'!A8</f>
        <v>C07</v>
      </c>
      <c r="B10" t="str">
        <f>PROPER(TRIM('Sheet1 - Dataset'!B8))</f>
        <v>Social Influencer</v>
      </c>
      <c r="C10" t="str">
        <f>'Sheet1 - Dataset'!C8</f>
        <v>Social</v>
      </c>
      <c r="D10" t="str">
        <f>'Sheet1 - Dataset'!D8</f>
        <v>Feb</v>
      </c>
      <c r="E10">
        <f>'Sheet1 - Dataset'!E8</f>
        <v>35000</v>
      </c>
      <c r="F10">
        <f>'Sheet1 - Dataset'!F8</f>
        <v>550000</v>
      </c>
      <c r="G10">
        <f>'Sheet1 - Dataset'!G8</f>
        <v>22000</v>
      </c>
      <c r="H10">
        <f>'Sheet1 - Dataset'!H8</f>
        <v>2200</v>
      </c>
      <c r="I10">
        <f>'Sheet1 - Dataset'!I8</f>
        <v>264</v>
      </c>
      <c r="J10" s="48">
        <f>DATE(2026,MATCH(D10,{"Jan","Feb","mar"},0),1)</f>
        <v>46054</v>
      </c>
    </row>
    <row r="11" spans="1:10" ht="15" customHeight="1" x14ac:dyDescent="0.3">
      <c r="A11" t="str">
        <f>'Sheet1 - Dataset'!A9</f>
        <v>C08</v>
      </c>
      <c r="B11" t="str">
        <f>PROPER(TRIM('Sheet1 - Dataset'!B9))</f>
        <v>Display Prospecting</v>
      </c>
      <c r="C11" t="str">
        <f>'Sheet1 - Dataset'!C9</f>
        <v>Display</v>
      </c>
      <c r="D11" t="str">
        <f>'Sheet1 - Dataset'!D9</f>
        <v>Feb</v>
      </c>
      <c r="E11">
        <f>'Sheet1 - Dataset'!E9</f>
        <v>20000</v>
      </c>
      <c r="F11">
        <f>'Sheet1 - Dataset'!F9</f>
        <v>900000</v>
      </c>
      <c r="G11">
        <f>'Sheet1 - Dataset'!G9</f>
        <v>7500</v>
      </c>
      <c r="H11">
        <f>'Sheet1 - Dataset'!H9</f>
        <v>750</v>
      </c>
      <c r="I11">
        <f>'Sheet1 - Dataset'!I9</f>
        <v>82</v>
      </c>
      <c r="J11" s="48">
        <f>DATE(2026,MATCH(D11,{"Jan","Feb","mar"},0),1)</f>
        <v>46054</v>
      </c>
    </row>
    <row r="12" spans="1:10" ht="15" customHeight="1" x14ac:dyDescent="0.3">
      <c r="A12" t="str">
        <f>'Sheet1 - Dataset'!A10</f>
        <v>C09</v>
      </c>
      <c r="B12" t="str">
        <f>PROPER(TRIM('Sheet1 - Dataset'!B10))</f>
        <v>Clearance Email</v>
      </c>
      <c r="C12" t="str">
        <f>'Sheet1 - Dataset'!C10</f>
        <v>Email</v>
      </c>
      <c r="D12" t="str">
        <f>'Sheet1 - Dataset'!D10</f>
        <v>Mar</v>
      </c>
      <c r="E12">
        <f>'Sheet1 - Dataset'!E10</f>
        <v>10000</v>
      </c>
      <c r="F12">
        <f>'Sheet1 - Dataset'!F10</f>
        <v>90000</v>
      </c>
      <c r="G12">
        <f>'Sheet1 - Dataset'!G10</f>
        <v>3600</v>
      </c>
      <c r="H12">
        <f>'Sheet1 - Dataset'!H10</f>
        <v>720</v>
      </c>
      <c r="I12">
        <f>'Sheet1 - Dataset'!I10</f>
        <v>158</v>
      </c>
      <c r="J12" s="48">
        <f>DATE(2026,MATCH(D12,{"Jan","Feb","mar"},0),1)</f>
        <v>46082</v>
      </c>
    </row>
    <row r="13" spans="1:10" ht="15" customHeight="1" x14ac:dyDescent="0.3">
      <c r="A13" t="str">
        <f>'Sheet1 - Dataset'!A11</f>
        <v>C10</v>
      </c>
      <c r="B13" t="str">
        <f>PROPER(TRIM('Sheet1 - Dataset'!B11))</f>
        <v>Search Competitor Terms</v>
      </c>
      <c r="C13" t="str">
        <f>'Sheet1 - Dataset'!C11</f>
        <v>Search</v>
      </c>
      <c r="D13" t="str">
        <f>'Sheet1 - Dataset'!D11</f>
        <v>Mar</v>
      </c>
      <c r="E13">
        <f>'Sheet1 - Dataset'!E11</f>
        <v>48000</v>
      </c>
      <c r="F13">
        <f>'Sheet1 - Dataset'!F11</f>
        <v>310000</v>
      </c>
      <c r="G13">
        <f>'Sheet1 - Dataset'!G11</f>
        <v>13500</v>
      </c>
      <c r="H13">
        <f>'Sheet1 - Dataset'!H11</f>
        <v>2700</v>
      </c>
      <c r="I13">
        <f>'Sheet1 - Dataset'!I11</f>
        <v>459</v>
      </c>
      <c r="J13" s="48">
        <f>DATE(2026,MATCH(D13,{"Jan","Feb","mar"},0),1)</f>
        <v>46082</v>
      </c>
    </row>
    <row r="14" spans="1:10" ht="15" customHeight="1" x14ac:dyDescent="0.3">
      <c r="A14" t="str">
        <f>'Sheet1 - Dataset'!A12</f>
        <v>C11</v>
      </c>
      <c r="B14" t="str">
        <f>PROPER(TRIM('Sheet1 - Dataset'!B12))</f>
        <v>Social Contest</v>
      </c>
      <c r="C14" t="str">
        <f>'Sheet1 - Dataset'!C12</f>
        <v>Social</v>
      </c>
      <c r="D14" t="str">
        <f>'Sheet1 - Dataset'!D12</f>
        <v>Mar</v>
      </c>
      <c r="E14">
        <f>'Sheet1 - Dataset'!E12</f>
        <v>32000</v>
      </c>
      <c r="F14">
        <f>'Sheet1 - Dataset'!F12</f>
        <v>600000</v>
      </c>
      <c r="G14">
        <f>'Sheet1 - Dataset'!G12</f>
        <v>24000</v>
      </c>
      <c r="H14">
        <f>'Sheet1 - Dataset'!H12</f>
        <v>2880</v>
      </c>
      <c r="I14">
        <f>'Sheet1 - Dataset'!I12</f>
        <v>346</v>
      </c>
      <c r="J14" s="48">
        <f>DATE(2026,MATCH(D14,{"Jan","Feb","mar"},0),1)</f>
        <v>46082</v>
      </c>
    </row>
    <row r="15" spans="1:10" ht="15" customHeight="1" x14ac:dyDescent="0.3">
      <c r="A15" t="str">
        <f>'Sheet1 - Dataset'!A13</f>
        <v>C12</v>
      </c>
      <c r="B15" t="str">
        <f>PROPER(TRIM('Sheet1 - Dataset'!B13))</f>
        <v>Display Lookalike</v>
      </c>
      <c r="C15" t="str">
        <f>'Sheet1 - Dataset'!C13</f>
        <v>Display</v>
      </c>
      <c r="D15" t="str">
        <f>'Sheet1 - Dataset'!D13</f>
        <v>Mar</v>
      </c>
      <c r="E15">
        <f>'Sheet1 - Dataset'!E13</f>
        <v>22000</v>
      </c>
      <c r="F15">
        <f>'Sheet1 - Dataset'!F13</f>
        <v>850000</v>
      </c>
      <c r="G15">
        <f>'Sheet1 - Dataset'!G13</f>
        <v>8500</v>
      </c>
      <c r="H15">
        <f>'Sheet1 - Dataset'!H13</f>
        <v>850</v>
      </c>
      <c r="I15">
        <f>'Sheet1 - Dataset'!I13</f>
        <v>110</v>
      </c>
      <c r="J15" s="48">
        <f>DATE(2026,MATCH(D15,{"Jan","Feb","mar"},0),1)</f>
        <v>46082</v>
      </c>
    </row>
  </sheetData>
  <mergeCells count="1">
    <mergeCell ref="A1:I1"/>
  </mergeCells>
  <dataValidations count="1">
    <dataValidation type="list" allowBlank="1" showInputMessage="1" showErrorMessage="1" sqref="C4:C15" xr:uid="{B0D33160-6D86-43B2-9228-462781370F06}">
      <formula1>"Email,Search,Social,Display"</formula1>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5"/>
  <sheetViews>
    <sheetView zoomScaleNormal="100" workbookViewId="0">
      <selection activeCell="G4" sqref="G4:G15"/>
    </sheetView>
  </sheetViews>
  <sheetFormatPr defaultColWidth="8.6640625" defaultRowHeight="14.4" x14ac:dyDescent="0.3"/>
  <cols>
    <col min="1" max="1" width="9" customWidth="1"/>
    <col min="2" max="2" width="20" customWidth="1"/>
    <col min="3" max="3" width="9" customWidth="1"/>
    <col min="4" max="4" width="10" customWidth="1"/>
    <col min="5" max="5" width="11" customWidth="1"/>
    <col min="6" max="6" width="14" customWidth="1"/>
    <col min="7" max="7" width="15" customWidth="1"/>
  </cols>
  <sheetData>
    <row r="1" spans="1:9" ht="21.75" customHeight="1" x14ac:dyDescent="0.3">
      <c r="A1" s="50" t="s">
        <v>48</v>
      </c>
      <c r="B1" s="51"/>
      <c r="C1" s="51"/>
      <c r="D1" s="51"/>
      <c r="E1" s="51"/>
      <c r="F1" s="51"/>
      <c r="G1" s="51"/>
      <c r="H1" s="51"/>
      <c r="I1" s="51"/>
    </row>
    <row r="3" spans="1:9" ht="15" customHeight="1" x14ac:dyDescent="0.3">
      <c r="A3" s="1" t="s">
        <v>0</v>
      </c>
      <c r="B3" s="1" t="s">
        <v>1</v>
      </c>
      <c r="C3" s="1" t="s">
        <v>2</v>
      </c>
      <c r="D3" s="1" t="s">
        <v>4</v>
      </c>
      <c r="E3" s="1" t="s">
        <v>8</v>
      </c>
      <c r="F3" s="1" t="s">
        <v>49</v>
      </c>
      <c r="G3" s="1" t="s">
        <v>50</v>
      </c>
    </row>
    <row r="4" spans="1:9" ht="15" customHeight="1" x14ac:dyDescent="0.3">
      <c r="A4" t="str">
        <f>'Sheet2 - Q1 Answer'!A4</f>
        <v>C01</v>
      </c>
      <c r="B4" t="str">
        <f>PROPER(TRIM('Sheet1 - Dataset'!B2))</f>
        <v>Spring Sale Email</v>
      </c>
      <c r="C4" t="str">
        <f>'Sheet2 - Q1 Answer'!C4</f>
        <v>Email</v>
      </c>
      <c r="D4">
        <f>'Sheet2 - Q1 Answer'!E4</f>
        <v>15000</v>
      </c>
      <c r="E4">
        <f>'Sheet2 - Q1 Answer'!I4</f>
        <v>210</v>
      </c>
      <c r="F4" s="3">
        <f>IFERROR(D4/E4,0)</f>
        <v>71.428571428571431</v>
      </c>
      <c r="G4" t="str">
        <f>IF(F4&lt;=100,"Excellent",IF(F4&lt;=150,"Good","Needs Review"))</f>
        <v>Excellent</v>
      </c>
    </row>
    <row r="5" spans="1:9" ht="15" customHeight="1" x14ac:dyDescent="0.3">
      <c r="A5" t="str">
        <f>'Sheet2 - Q1 Answer'!A5</f>
        <v>C02</v>
      </c>
      <c r="B5" t="str">
        <f>PROPER(TRIM('Sheet1 - Dataset'!B3))</f>
        <v>Search Brand Terms</v>
      </c>
      <c r="C5" t="str">
        <f>'Sheet2 - Q1 Answer'!C5</f>
        <v>Search</v>
      </c>
      <c r="D5">
        <f>'Sheet2 - Q1 Answer'!E5</f>
        <v>45000</v>
      </c>
      <c r="E5">
        <f>'Sheet2 - Q1 Answer'!I5</f>
        <v>540</v>
      </c>
      <c r="F5" s="3">
        <f t="shared" ref="F5:F15" si="0">IFERROR(D5/E5,0)</f>
        <v>83.333333333333329</v>
      </c>
      <c r="G5" t="str">
        <f t="shared" ref="G5:G15" si="1">IF(F5&lt;=100,"Excellent",IF(F5&lt;=150,"Good","Needs Review"))</f>
        <v>Excellent</v>
      </c>
    </row>
    <row r="6" spans="1:9" ht="15" customHeight="1" x14ac:dyDescent="0.3">
      <c r="A6" t="str">
        <f>'Sheet2 - Q1 Answer'!A6</f>
        <v>C03</v>
      </c>
      <c r="B6" t="str">
        <f>PROPER(TRIM('Sheet1 - Dataset'!B4))</f>
        <v>Social Reels Promo</v>
      </c>
      <c r="C6" t="str">
        <f>'Sheet2 - Q1 Answer'!C6</f>
        <v>Social</v>
      </c>
      <c r="D6">
        <f>'Sheet2 - Q1 Answer'!E6</f>
        <v>30000</v>
      </c>
      <c r="E6">
        <f>'Sheet2 - Q1 Answer'!I6</f>
        <v>300</v>
      </c>
      <c r="F6" s="3">
        <f t="shared" si="0"/>
        <v>100</v>
      </c>
      <c r="G6" t="str">
        <f t="shared" si="1"/>
        <v>Excellent</v>
      </c>
    </row>
    <row r="7" spans="1:9" ht="15" customHeight="1" x14ac:dyDescent="0.3">
      <c r="A7" t="str">
        <f>'Sheet2 - Q1 Answer'!A7</f>
        <v>C04</v>
      </c>
      <c r="B7" t="str">
        <f>PROPER(TRIM('Sheet1 - Dataset'!B5))</f>
        <v>Display Retarget</v>
      </c>
      <c r="C7" t="str">
        <f>'Sheet2 - Q1 Answer'!C7</f>
        <v>Display</v>
      </c>
      <c r="D7">
        <f>'Sheet2 - Q1 Answer'!E7</f>
        <v>18000</v>
      </c>
      <c r="E7">
        <f>'Sheet2 - Q1 Answer'!I7</f>
        <v>96</v>
      </c>
      <c r="F7" s="3">
        <f t="shared" si="0"/>
        <v>187.5</v>
      </c>
      <c r="G7" t="str">
        <f t="shared" si="1"/>
        <v>Needs Review</v>
      </c>
    </row>
    <row r="8" spans="1:9" ht="15" customHeight="1" x14ac:dyDescent="0.3">
      <c r="A8" t="str">
        <f>'Sheet2 - Q1 Answer'!A8</f>
        <v>C05</v>
      </c>
      <c r="B8" t="str">
        <f>PROPER(TRIM('Sheet1 - Dataset'!B6))</f>
        <v>New Year Email</v>
      </c>
      <c r="C8" t="str">
        <f>'Sheet2 - Q1 Answer'!C8</f>
        <v>Email</v>
      </c>
      <c r="D8">
        <f>'Sheet2 - Q1 Answer'!E8</f>
        <v>12000</v>
      </c>
      <c r="E8">
        <f>'Sheet2 - Q1 Answer'!I8</f>
        <v>189</v>
      </c>
      <c r="F8" s="3">
        <f t="shared" si="0"/>
        <v>63.492063492063494</v>
      </c>
      <c r="G8" t="str">
        <f t="shared" si="1"/>
        <v>Excellent</v>
      </c>
    </row>
    <row r="9" spans="1:9" ht="15" customHeight="1" x14ac:dyDescent="0.3">
      <c r="A9" t="str">
        <f>'Sheet2 - Q1 Answer'!A9</f>
        <v>C06</v>
      </c>
      <c r="B9" t="str">
        <f>PROPER(TRIM('Sheet1 - Dataset'!B7))</f>
        <v>Search Generic Terms</v>
      </c>
      <c r="C9" t="str">
        <f>'Sheet2 - Q1 Answer'!C9</f>
        <v>Search</v>
      </c>
      <c r="D9">
        <f>'Sheet2 - Q1 Answer'!E9</f>
        <v>50000</v>
      </c>
      <c r="E9">
        <f>'Sheet2 - Q1 Answer'!I9</f>
        <v>476</v>
      </c>
      <c r="F9" s="3">
        <f t="shared" si="0"/>
        <v>105.04201680672269</v>
      </c>
      <c r="G9" t="str">
        <f t="shared" si="1"/>
        <v>Good</v>
      </c>
    </row>
    <row r="10" spans="1:9" ht="15" customHeight="1" x14ac:dyDescent="0.3">
      <c r="A10" t="str">
        <f>'Sheet2 - Q1 Answer'!A10</f>
        <v>C07</v>
      </c>
      <c r="B10" t="str">
        <f>PROPER(TRIM('Sheet1 - Dataset'!B8))</f>
        <v>Social Influencer</v>
      </c>
      <c r="C10" t="str">
        <f>'Sheet2 - Q1 Answer'!C10</f>
        <v>Social</v>
      </c>
      <c r="D10">
        <f>'Sheet2 - Q1 Answer'!E10</f>
        <v>35000</v>
      </c>
      <c r="E10">
        <f>'Sheet2 - Q1 Answer'!I10</f>
        <v>264</v>
      </c>
      <c r="F10" s="3">
        <f t="shared" si="0"/>
        <v>132.57575757575756</v>
      </c>
      <c r="G10" t="str">
        <f t="shared" si="1"/>
        <v>Good</v>
      </c>
    </row>
    <row r="11" spans="1:9" ht="15" customHeight="1" x14ac:dyDescent="0.3">
      <c r="A11" t="str">
        <f>'Sheet2 - Q1 Answer'!A11</f>
        <v>C08</v>
      </c>
      <c r="B11" t="str">
        <f>PROPER(TRIM('Sheet1 - Dataset'!B9))</f>
        <v>Display Prospecting</v>
      </c>
      <c r="C11" t="str">
        <f>'Sheet2 - Q1 Answer'!C11</f>
        <v>Display</v>
      </c>
      <c r="D11">
        <f>'Sheet2 - Q1 Answer'!E11</f>
        <v>20000</v>
      </c>
      <c r="E11">
        <f>'Sheet2 - Q1 Answer'!I11</f>
        <v>82</v>
      </c>
      <c r="F11" s="3">
        <f t="shared" si="0"/>
        <v>243.90243902439025</v>
      </c>
      <c r="G11" t="str">
        <f t="shared" si="1"/>
        <v>Needs Review</v>
      </c>
    </row>
    <row r="12" spans="1:9" ht="15" customHeight="1" x14ac:dyDescent="0.3">
      <c r="A12" t="str">
        <f>'Sheet2 - Q1 Answer'!A12</f>
        <v>C09</v>
      </c>
      <c r="B12" t="str">
        <f>PROPER(TRIM('Sheet1 - Dataset'!B10))</f>
        <v>Clearance Email</v>
      </c>
      <c r="C12" t="str">
        <f>'Sheet2 - Q1 Answer'!C12</f>
        <v>Email</v>
      </c>
      <c r="D12">
        <f>'Sheet2 - Q1 Answer'!E12</f>
        <v>10000</v>
      </c>
      <c r="E12">
        <f>'Sheet2 - Q1 Answer'!I12</f>
        <v>158</v>
      </c>
      <c r="F12" s="3">
        <f t="shared" si="0"/>
        <v>63.291139240506332</v>
      </c>
      <c r="G12" t="str">
        <f t="shared" si="1"/>
        <v>Excellent</v>
      </c>
    </row>
    <row r="13" spans="1:9" ht="15" customHeight="1" x14ac:dyDescent="0.3">
      <c r="A13" t="str">
        <f>'Sheet2 - Q1 Answer'!A13</f>
        <v>C10</v>
      </c>
      <c r="B13" t="str">
        <f>PROPER(TRIM('Sheet1 - Dataset'!B11))</f>
        <v>Search Competitor Terms</v>
      </c>
      <c r="C13" t="str">
        <f>'Sheet2 - Q1 Answer'!C13</f>
        <v>Search</v>
      </c>
      <c r="D13">
        <f>'Sheet2 - Q1 Answer'!E13</f>
        <v>48000</v>
      </c>
      <c r="E13">
        <f>'Sheet2 - Q1 Answer'!I13</f>
        <v>459</v>
      </c>
      <c r="F13" s="3">
        <f t="shared" si="0"/>
        <v>104.57516339869281</v>
      </c>
      <c r="G13" t="str">
        <f t="shared" si="1"/>
        <v>Good</v>
      </c>
    </row>
    <row r="14" spans="1:9" ht="15" customHeight="1" x14ac:dyDescent="0.3">
      <c r="A14" t="str">
        <f>'Sheet2 - Q1 Answer'!A14</f>
        <v>C11</v>
      </c>
      <c r="B14" t="str">
        <f>PROPER(TRIM('Sheet1 - Dataset'!B12))</f>
        <v>Social Contest</v>
      </c>
      <c r="C14" t="str">
        <f>'Sheet2 - Q1 Answer'!C14</f>
        <v>Social</v>
      </c>
      <c r="D14">
        <f>'Sheet2 - Q1 Answer'!E14</f>
        <v>32000</v>
      </c>
      <c r="E14">
        <f>'Sheet2 - Q1 Answer'!I14</f>
        <v>346</v>
      </c>
      <c r="F14" s="3">
        <f t="shared" si="0"/>
        <v>92.48554913294798</v>
      </c>
      <c r="G14" t="str">
        <f t="shared" si="1"/>
        <v>Excellent</v>
      </c>
    </row>
    <row r="15" spans="1:9" ht="15" customHeight="1" x14ac:dyDescent="0.3">
      <c r="A15" t="str">
        <f>'Sheet2 - Q1 Answer'!A15</f>
        <v>C12</v>
      </c>
      <c r="B15" t="str">
        <f>PROPER(TRIM('Sheet1 - Dataset'!B13))</f>
        <v>Display Lookalike</v>
      </c>
      <c r="C15" t="str">
        <f>'Sheet2 - Q1 Answer'!C15</f>
        <v>Display</v>
      </c>
      <c r="D15">
        <f>'Sheet2 - Q1 Answer'!E15</f>
        <v>22000</v>
      </c>
      <c r="E15">
        <f>'Sheet2 - Q1 Answer'!I15</f>
        <v>110</v>
      </c>
      <c r="F15" s="3">
        <f t="shared" si="0"/>
        <v>200</v>
      </c>
      <c r="G15" t="str">
        <f t="shared" si="1"/>
        <v>Needs Review</v>
      </c>
    </row>
  </sheetData>
  <mergeCells count="1">
    <mergeCell ref="A1:I1"/>
  </mergeCells>
  <conditionalFormatting sqref="G4:G15">
    <cfRule type="containsText" dxfId="2" priority="3" operator="containsText" text="Needs Review">
      <formula>NOT(ISERROR(SEARCH("Needs Review",G4)))</formula>
    </cfRule>
    <cfRule type="containsText" dxfId="3" priority="4" operator="containsText" text="Excellent">
      <formula>NOT(ISERROR(SEARCH("Excellent",G4)))</formula>
    </cfRule>
    <cfRule type="cellIs" priority="2" operator="equal">
      <formula>"Excellent"</formula>
    </cfRule>
    <cfRule type="cellIs" priority="1" operator="equal">
      <formula>"Needs Review"</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5"/>
  <sheetViews>
    <sheetView zoomScaleNormal="100" workbookViewId="0">
      <selection activeCell="C20" sqref="C20"/>
    </sheetView>
  </sheetViews>
  <sheetFormatPr defaultColWidth="8.6640625" defaultRowHeight="14.4" x14ac:dyDescent="0.3"/>
  <cols>
    <col min="1" max="1" width="9" customWidth="1"/>
    <col min="2" max="2" width="20" customWidth="1"/>
    <col min="3" max="3" width="9" customWidth="1"/>
    <col min="4" max="4" width="26" customWidth="1"/>
  </cols>
  <sheetData>
    <row r="1" spans="1:9" ht="21.75" customHeight="1" x14ac:dyDescent="0.3">
      <c r="A1" s="50" t="s">
        <v>51</v>
      </c>
      <c r="B1" s="51"/>
      <c r="C1" s="51"/>
      <c r="D1" s="51"/>
      <c r="E1" s="51"/>
      <c r="F1" s="51"/>
      <c r="G1" s="51"/>
      <c r="H1" s="51"/>
      <c r="I1" s="51"/>
    </row>
    <row r="3" spans="1:9" ht="15" customHeight="1" x14ac:dyDescent="0.3">
      <c r="A3" s="1" t="s">
        <v>0</v>
      </c>
      <c r="B3" s="1" t="s">
        <v>1</v>
      </c>
      <c r="C3" s="1" t="s">
        <v>2</v>
      </c>
      <c r="D3" s="1" t="s">
        <v>52</v>
      </c>
    </row>
    <row r="4" spans="1:9" ht="15" customHeight="1" x14ac:dyDescent="0.3">
      <c r="A4" t="str">
        <f>'Sheet2 - Q1 Answer'!A4</f>
        <v>C01</v>
      </c>
      <c r="B4" t="str">
        <f>'Sheet2 - Q1 Answer'!B4</f>
        <v>Spring Sale Email</v>
      </c>
      <c r="C4" t="str">
        <f>'Sheet2 - Q1 Answer'!C4</f>
        <v>Email</v>
      </c>
      <c r="D4" t="str">
        <f>IFERROR(VLOOKUP(C4,'Sheet1 - Dataset'!$K$3:$L$6,2,FALSE),"Not Found")</f>
        <v>Neha Kulkarni</v>
      </c>
    </row>
    <row r="5" spans="1:9" ht="15" customHeight="1" x14ac:dyDescent="0.3">
      <c r="A5" t="str">
        <f>'Sheet2 - Q1 Answer'!A5</f>
        <v>C02</v>
      </c>
      <c r="B5" t="str">
        <f>'Sheet2 - Q1 Answer'!B5</f>
        <v>Search Brand Terms</v>
      </c>
      <c r="C5" t="str">
        <f>'Sheet2 - Q1 Answer'!C5</f>
        <v>Search</v>
      </c>
      <c r="D5" t="str">
        <f>IFERROR(VLOOKUP(C5,'Sheet1 - Dataset'!$K$3:$L$6,2,FALSE),"Not Found")</f>
        <v>Arjun Rao</v>
      </c>
    </row>
    <row r="6" spans="1:9" ht="15" customHeight="1" x14ac:dyDescent="0.3">
      <c r="A6" t="str">
        <f>'Sheet2 - Q1 Answer'!A6</f>
        <v>C03</v>
      </c>
      <c r="B6" t="str">
        <f>'Sheet2 - Q1 Answer'!B6</f>
        <v>Social Reels Promo</v>
      </c>
      <c r="C6" t="str">
        <f>'Sheet2 - Q1 Answer'!C6</f>
        <v>Social</v>
      </c>
      <c r="D6" t="str">
        <f>IFERROR(VLOOKUP(C6,'Sheet1 - Dataset'!$K$3:$L$6,2,FALSE),"Not Found")</f>
        <v>Divya Menon</v>
      </c>
    </row>
    <row r="7" spans="1:9" ht="15" customHeight="1" x14ac:dyDescent="0.3">
      <c r="A7" t="str">
        <f>'Sheet2 - Q1 Answer'!A7</f>
        <v>C04</v>
      </c>
      <c r="B7" t="str">
        <f>'Sheet2 - Q1 Answer'!B7</f>
        <v>Display Retarget</v>
      </c>
      <c r="C7" t="str">
        <f>'Sheet2 - Q1 Answer'!C7</f>
        <v>Display</v>
      </c>
      <c r="D7" t="str">
        <f>IFERROR(VLOOKUP(C7,'Sheet1 - Dataset'!$K$3:$L$6,2,FALSE),"Not Found")</f>
        <v>Karan Shah</v>
      </c>
    </row>
    <row r="8" spans="1:9" ht="15" customHeight="1" x14ac:dyDescent="0.3">
      <c r="A8" t="str">
        <f>'Sheet2 - Q1 Answer'!A8</f>
        <v>C05</v>
      </c>
      <c r="B8" t="str">
        <f>'Sheet2 - Q1 Answer'!B8</f>
        <v>New Year Email</v>
      </c>
      <c r="C8" t="str">
        <f>'Sheet2 - Q1 Answer'!C8</f>
        <v>Email</v>
      </c>
      <c r="D8" t="str">
        <f>IFERROR(VLOOKUP(C8,'Sheet1 - Dataset'!$K$3:$L$6,2,FALSE),"Not Found")</f>
        <v>Neha Kulkarni</v>
      </c>
    </row>
    <row r="9" spans="1:9" ht="15" customHeight="1" x14ac:dyDescent="0.3">
      <c r="A9" t="str">
        <f>'Sheet2 - Q1 Answer'!A9</f>
        <v>C06</v>
      </c>
      <c r="B9" t="str">
        <f>'Sheet2 - Q1 Answer'!B9</f>
        <v>Search Generic Terms</v>
      </c>
      <c r="C9" t="str">
        <f>'Sheet2 - Q1 Answer'!C9</f>
        <v>Search</v>
      </c>
      <c r="D9" t="str">
        <f>IFERROR(VLOOKUP(C9,'Sheet1 - Dataset'!$K$3:$L$6,2,FALSE),"Not Found")</f>
        <v>Arjun Rao</v>
      </c>
    </row>
    <row r="10" spans="1:9" ht="15" customHeight="1" x14ac:dyDescent="0.3">
      <c r="A10" t="str">
        <f>'Sheet2 - Q1 Answer'!A10</f>
        <v>C07</v>
      </c>
      <c r="B10" t="str">
        <f>'Sheet2 - Q1 Answer'!B10</f>
        <v>Social Influencer</v>
      </c>
      <c r="C10" t="str">
        <f>'Sheet2 - Q1 Answer'!C10</f>
        <v>Social</v>
      </c>
      <c r="D10" t="str">
        <f>IFERROR(VLOOKUP(C10,'Sheet1 - Dataset'!$K$3:$L$6,2,FALSE),"Not Found")</f>
        <v>Divya Menon</v>
      </c>
    </row>
    <row r="11" spans="1:9" ht="15" customHeight="1" x14ac:dyDescent="0.3">
      <c r="A11" t="str">
        <f>'Sheet2 - Q1 Answer'!A11</f>
        <v>C08</v>
      </c>
      <c r="B11" t="str">
        <f>'Sheet2 - Q1 Answer'!B11</f>
        <v>Display Prospecting</v>
      </c>
      <c r="C11" t="str">
        <f>'Sheet2 - Q1 Answer'!C11</f>
        <v>Display</v>
      </c>
      <c r="D11" t="str">
        <f>IFERROR(VLOOKUP(C11,'Sheet1 - Dataset'!$K$3:$L$6,2,FALSE),"Not Found")</f>
        <v>Karan Shah</v>
      </c>
    </row>
    <row r="12" spans="1:9" ht="15" customHeight="1" x14ac:dyDescent="0.3">
      <c r="A12" t="str">
        <f>'Sheet2 - Q1 Answer'!A12</f>
        <v>C09</v>
      </c>
      <c r="B12" t="str">
        <f>'Sheet2 - Q1 Answer'!B12</f>
        <v>Clearance Email</v>
      </c>
      <c r="C12" t="str">
        <f>'Sheet2 - Q1 Answer'!C12</f>
        <v>Email</v>
      </c>
      <c r="D12" t="str">
        <f>IFERROR(VLOOKUP(C12,'Sheet1 - Dataset'!$K$3:$L$6,2,FALSE),"Not Found")</f>
        <v>Neha Kulkarni</v>
      </c>
    </row>
    <row r="13" spans="1:9" ht="15" customHeight="1" x14ac:dyDescent="0.3">
      <c r="A13" t="str">
        <f>'Sheet2 - Q1 Answer'!A13</f>
        <v>C10</v>
      </c>
      <c r="B13" t="str">
        <f>'Sheet2 - Q1 Answer'!B13</f>
        <v>Search Competitor Terms</v>
      </c>
      <c r="C13" t="str">
        <f>'Sheet2 - Q1 Answer'!C13</f>
        <v>Search</v>
      </c>
      <c r="D13" t="str">
        <f>IFERROR(VLOOKUP(C13,'Sheet1 - Dataset'!$K$3:$L$6,2,FALSE),"Not Found")</f>
        <v>Arjun Rao</v>
      </c>
    </row>
    <row r="14" spans="1:9" ht="15" customHeight="1" x14ac:dyDescent="0.3">
      <c r="A14" t="str">
        <f>'Sheet2 - Q1 Answer'!A14</f>
        <v>C11</v>
      </c>
      <c r="B14" t="str">
        <f>'Sheet2 - Q1 Answer'!B14</f>
        <v>Social Contest</v>
      </c>
      <c r="C14" t="str">
        <f>'Sheet2 - Q1 Answer'!C14</f>
        <v>Social</v>
      </c>
      <c r="D14" t="str">
        <f>IFERROR(VLOOKUP(C14,'Sheet1 - Dataset'!$K$3:$L$6,2,FALSE),"Not Found")</f>
        <v>Divya Menon</v>
      </c>
    </row>
    <row r="15" spans="1:9" ht="15" customHeight="1" x14ac:dyDescent="0.3">
      <c r="A15" t="str">
        <f>'Sheet2 - Q1 Answer'!A15</f>
        <v>C12</v>
      </c>
      <c r="B15" t="str">
        <f>'Sheet2 - Q1 Answer'!B15</f>
        <v>Display Lookalike</v>
      </c>
      <c r="C15" t="str">
        <f>'Sheet2 - Q1 Answer'!C15</f>
        <v>Display</v>
      </c>
      <c r="D15" t="str">
        <f>IFERROR(VLOOKUP(C15,'Sheet1 - Dataset'!$K$3:$L$6,2,FALSE),"Not Found")</f>
        <v>Karan Shah</v>
      </c>
    </row>
  </sheetData>
  <mergeCells count="1">
    <mergeCell ref="A1:I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4"/>
  <sheetViews>
    <sheetView zoomScale="73" zoomScaleNormal="100" workbookViewId="0">
      <selection activeCell="D15" sqref="D15"/>
    </sheetView>
  </sheetViews>
  <sheetFormatPr defaultColWidth="8.6640625" defaultRowHeight="14.4" x14ac:dyDescent="0.3"/>
  <cols>
    <col min="1" max="1" width="24" customWidth="1"/>
    <col min="2" max="4" width="12" customWidth="1"/>
  </cols>
  <sheetData>
    <row r="1" spans="1:9" ht="21.75" customHeight="1" x14ac:dyDescent="0.3">
      <c r="A1" s="50" t="s">
        <v>53</v>
      </c>
      <c r="B1" s="51"/>
      <c r="C1" s="51"/>
      <c r="D1" s="51"/>
      <c r="E1" s="51"/>
      <c r="F1" s="51"/>
      <c r="G1" s="51"/>
      <c r="H1" s="51"/>
      <c r="I1" s="51"/>
    </row>
    <row r="3" spans="1:9" ht="15" customHeight="1" x14ac:dyDescent="0.3">
      <c r="A3" s="2" t="s">
        <v>54</v>
      </c>
    </row>
    <row r="4" spans="1:9" ht="15" customHeight="1" x14ac:dyDescent="0.3">
      <c r="A4" s="1" t="s">
        <v>2</v>
      </c>
      <c r="B4" s="1" t="s">
        <v>13</v>
      </c>
      <c r="C4" s="1" t="s">
        <v>29</v>
      </c>
      <c r="D4" s="1" t="s">
        <v>39</v>
      </c>
    </row>
    <row r="5" spans="1:9" ht="15" customHeight="1" x14ac:dyDescent="0.3">
      <c r="A5" t="s">
        <v>25</v>
      </c>
      <c r="B5">
        <v>18000</v>
      </c>
      <c r="C5">
        <v>20000</v>
      </c>
      <c r="D5">
        <v>22000</v>
      </c>
    </row>
    <row r="6" spans="1:9" ht="15" customHeight="1" x14ac:dyDescent="0.3">
      <c r="A6" t="s">
        <v>12</v>
      </c>
      <c r="B6">
        <v>15000</v>
      </c>
      <c r="C6">
        <v>12000</v>
      </c>
      <c r="D6">
        <v>10000</v>
      </c>
    </row>
    <row r="7" spans="1:9" ht="15" customHeight="1" x14ac:dyDescent="0.3">
      <c r="A7" t="s">
        <v>17</v>
      </c>
      <c r="B7">
        <v>45000</v>
      </c>
      <c r="C7">
        <v>50000</v>
      </c>
      <c r="D7">
        <v>48000</v>
      </c>
    </row>
    <row r="8" spans="1:9" ht="15" customHeight="1" x14ac:dyDescent="0.3">
      <c r="A8" t="s">
        <v>21</v>
      </c>
      <c r="B8">
        <v>30000</v>
      </c>
      <c r="C8">
        <v>35000</v>
      </c>
      <c r="D8">
        <v>32000</v>
      </c>
    </row>
    <row r="10" spans="1:9" ht="15" customHeight="1" x14ac:dyDescent="0.3">
      <c r="A10" s="4" t="s">
        <v>55</v>
      </c>
    </row>
    <row r="12" spans="1:9" ht="15" customHeight="1" x14ac:dyDescent="0.3">
      <c r="A12" s="5" t="s">
        <v>56</v>
      </c>
      <c r="B12" t="s">
        <v>17</v>
      </c>
    </row>
    <row r="13" spans="1:9" ht="15" customHeight="1" x14ac:dyDescent="0.3">
      <c r="A13" s="5" t="s">
        <v>57</v>
      </c>
      <c r="B13" t="s">
        <v>13</v>
      </c>
    </row>
    <row r="14" spans="1:9" ht="17.25" customHeight="1" x14ac:dyDescent="0.3">
      <c r="A14" s="5" t="s">
        <v>58</v>
      </c>
      <c r="B14" s="6">
        <f>INDEX($B$5:$D$8,MATCH(B12,$A$5:$A$8,0),MATCH(B13,$B$4:$D$4,0))</f>
        <v>45000</v>
      </c>
    </row>
  </sheetData>
  <mergeCells count="1">
    <mergeCell ref="A1:I1"/>
  </mergeCells>
  <dataValidations count="2">
    <dataValidation type="list" allowBlank="1" showInputMessage="1" showErrorMessage="1" sqref="B12" xr:uid="{F54047F4-2015-45F5-885F-B0F81C899FFF}">
      <formula1>"Display,Email,Search,Social"</formula1>
    </dataValidation>
    <dataValidation type="list" allowBlank="1" showInputMessage="1" showErrorMessage="1" sqref="B13" xr:uid="{EC443705-AED6-47CF-BE4D-EBD90263837E}">
      <formula1>"Jan,Feb,Mar"</formula1>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22"/>
  <sheetViews>
    <sheetView topLeftCell="H1" zoomScaleNormal="100" workbookViewId="0">
      <selection activeCell="J20" sqref="J20"/>
    </sheetView>
  </sheetViews>
  <sheetFormatPr defaultColWidth="11.5546875" defaultRowHeight="14.4" x14ac:dyDescent="0.3"/>
  <cols>
    <col min="8" max="8" width="12.5546875" bestFit="1" customWidth="1"/>
    <col min="9" max="9" width="15.5546875" bestFit="1" customWidth="1"/>
    <col min="10" max="10" width="17.88671875" bestFit="1" customWidth="1"/>
    <col min="11" max="11" width="12.77734375" bestFit="1" customWidth="1"/>
    <col min="12" max="12" width="17.88671875" bestFit="1" customWidth="1"/>
    <col min="13" max="13" width="12.77734375" bestFit="1" customWidth="1"/>
    <col min="14" max="14" width="17.88671875" bestFit="1" customWidth="1"/>
    <col min="15" max="15" width="17.6640625" bestFit="1" customWidth="1"/>
    <col min="16" max="16" width="22.6640625" bestFit="1" customWidth="1"/>
  </cols>
  <sheetData>
    <row r="1" spans="1:16" ht="13.5" customHeight="1" x14ac:dyDescent="0.3">
      <c r="A1" t="s">
        <v>59</v>
      </c>
    </row>
    <row r="2" spans="1:16" ht="13.5" customHeight="1" x14ac:dyDescent="0.3"/>
    <row r="3" spans="1:16" ht="13.5" customHeight="1" x14ac:dyDescent="0.3">
      <c r="A3" t="s">
        <v>60</v>
      </c>
      <c r="I3" s="46" t="s">
        <v>95</v>
      </c>
    </row>
    <row r="4" spans="1:16" ht="13.5" customHeight="1" x14ac:dyDescent="0.3">
      <c r="I4" t="s">
        <v>13</v>
      </c>
      <c r="K4" t="s">
        <v>29</v>
      </c>
      <c r="M4" t="s">
        <v>39</v>
      </c>
      <c r="O4" t="s">
        <v>97</v>
      </c>
      <c r="P4" t="s">
        <v>98</v>
      </c>
    </row>
    <row r="5" spans="1:16" ht="13.5" customHeight="1" x14ac:dyDescent="0.3">
      <c r="A5" t="s">
        <v>61</v>
      </c>
      <c r="H5" s="46" t="s">
        <v>93</v>
      </c>
      <c r="I5" t="s">
        <v>96</v>
      </c>
      <c r="J5" t="s">
        <v>99</v>
      </c>
      <c r="K5" t="s">
        <v>96</v>
      </c>
      <c r="L5" t="s">
        <v>99</v>
      </c>
      <c r="M5" t="s">
        <v>96</v>
      </c>
      <c r="N5" t="s">
        <v>99</v>
      </c>
    </row>
    <row r="6" spans="1:16" ht="13.5" customHeight="1" x14ac:dyDescent="0.3">
      <c r="H6" s="47" t="s">
        <v>25</v>
      </c>
      <c r="I6">
        <v>18000</v>
      </c>
      <c r="J6">
        <v>96</v>
      </c>
      <c r="K6">
        <v>20000</v>
      </c>
      <c r="L6">
        <v>82</v>
      </c>
      <c r="M6">
        <v>22000</v>
      </c>
      <c r="N6">
        <v>110</v>
      </c>
      <c r="O6">
        <v>60000</v>
      </c>
      <c r="P6">
        <v>288</v>
      </c>
    </row>
    <row r="7" spans="1:16" ht="13.5" customHeight="1" x14ac:dyDescent="0.3">
      <c r="A7" s="7"/>
      <c r="B7" s="8"/>
      <c r="C7" s="9" t="s">
        <v>3</v>
      </c>
      <c r="D7" s="10"/>
      <c r="E7" s="10"/>
      <c r="F7" s="11"/>
      <c r="H7" s="47" t="s">
        <v>12</v>
      </c>
      <c r="I7">
        <v>15000</v>
      </c>
      <c r="J7">
        <v>210</v>
      </c>
      <c r="K7">
        <v>12000</v>
      </c>
      <c r="L7">
        <v>189</v>
      </c>
      <c r="M7">
        <v>10000</v>
      </c>
      <c r="N7">
        <v>158</v>
      </c>
      <c r="O7">
        <v>37000</v>
      </c>
      <c r="P7">
        <v>557</v>
      </c>
    </row>
    <row r="8" spans="1:16" ht="13.5" customHeight="1" x14ac:dyDescent="0.3">
      <c r="A8" s="12" t="s">
        <v>2</v>
      </c>
      <c r="B8" s="13" t="s">
        <v>62</v>
      </c>
      <c r="C8" s="14" t="s">
        <v>29</v>
      </c>
      <c r="D8" s="15" t="s">
        <v>13</v>
      </c>
      <c r="E8" s="15" t="s">
        <v>39</v>
      </c>
      <c r="F8" s="16" t="s">
        <v>63</v>
      </c>
      <c r="H8" s="47" t="s">
        <v>17</v>
      </c>
      <c r="I8">
        <v>45000</v>
      </c>
      <c r="J8">
        <v>540</v>
      </c>
      <c r="K8">
        <v>50000</v>
      </c>
      <c r="L8">
        <v>476</v>
      </c>
      <c r="M8">
        <v>48000</v>
      </c>
      <c r="N8">
        <v>459</v>
      </c>
      <c r="O8">
        <v>143000</v>
      </c>
      <c r="P8">
        <v>1475</v>
      </c>
    </row>
    <row r="9" spans="1:16" ht="13.5" customHeight="1" x14ac:dyDescent="0.3">
      <c r="A9" s="17" t="s">
        <v>25</v>
      </c>
      <c r="B9" s="18"/>
      <c r="C9" s="19"/>
      <c r="D9" s="20"/>
      <c r="E9" s="21"/>
      <c r="F9" s="22"/>
      <c r="H9" s="47" t="s">
        <v>21</v>
      </c>
      <c r="I9">
        <v>30000</v>
      </c>
      <c r="J9">
        <v>300</v>
      </c>
      <c r="K9">
        <v>35000</v>
      </c>
      <c r="L9">
        <v>264</v>
      </c>
      <c r="M9">
        <v>32000</v>
      </c>
      <c r="N9">
        <v>346</v>
      </c>
      <c r="O9">
        <v>97000</v>
      </c>
      <c r="P9">
        <v>910</v>
      </c>
    </row>
    <row r="10" spans="1:16" ht="13.5" customHeight="1" x14ac:dyDescent="0.3">
      <c r="A10" s="23"/>
      <c r="B10" s="24" t="s">
        <v>64</v>
      </c>
      <c r="C10" s="25">
        <v>20000</v>
      </c>
      <c r="D10">
        <v>18000</v>
      </c>
      <c r="E10" s="26">
        <v>22000</v>
      </c>
      <c r="F10" s="27">
        <v>60000</v>
      </c>
      <c r="H10" s="47" t="s">
        <v>94</v>
      </c>
      <c r="I10">
        <v>108000</v>
      </c>
      <c r="J10">
        <v>1146</v>
      </c>
      <c r="K10">
        <v>117000</v>
      </c>
      <c r="L10">
        <v>1011</v>
      </c>
      <c r="M10">
        <v>112000</v>
      </c>
      <c r="N10">
        <v>1073</v>
      </c>
      <c r="O10">
        <v>337000</v>
      </c>
      <c r="P10">
        <v>3230</v>
      </c>
    </row>
    <row r="11" spans="1:16" ht="13.5" customHeight="1" x14ac:dyDescent="0.3">
      <c r="A11" s="23"/>
      <c r="B11" s="24" t="s">
        <v>65</v>
      </c>
      <c r="C11" s="28">
        <v>82</v>
      </c>
      <c r="D11" s="29">
        <v>96</v>
      </c>
      <c r="E11" s="13">
        <v>110</v>
      </c>
      <c r="F11" s="30">
        <v>288</v>
      </c>
    </row>
    <row r="12" spans="1:16" ht="13.5" customHeight="1" x14ac:dyDescent="0.3">
      <c r="A12" s="23" t="s">
        <v>12</v>
      </c>
      <c r="B12" s="24"/>
      <c r="C12" s="20"/>
      <c r="D12" s="20"/>
      <c r="E12" s="20"/>
      <c r="F12" s="22"/>
    </row>
    <row r="13" spans="1:16" ht="13.5" customHeight="1" x14ac:dyDescent="0.3">
      <c r="A13" s="23"/>
      <c r="B13" s="24" t="s">
        <v>64</v>
      </c>
      <c r="C13">
        <v>12000</v>
      </c>
      <c r="D13">
        <v>15000</v>
      </c>
      <c r="E13">
        <v>10000</v>
      </c>
      <c r="F13" s="27">
        <v>37000</v>
      </c>
    </row>
    <row r="14" spans="1:16" ht="13.5" customHeight="1" x14ac:dyDescent="0.3">
      <c r="A14" s="23"/>
      <c r="B14" s="24" t="s">
        <v>65</v>
      </c>
      <c r="C14" s="29">
        <v>189</v>
      </c>
      <c r="D14" s="29">
        <v>210</v>
      </c>
      <c r="E14" s="29">
        <v>158</v>
      </c>
      <c r="F14" s="30">
        <v>557</v>
      </c>
    </row>
    <row r="15" spans="1:16" ht="13.5" customHeight="1" x14ac:dyDescent="0.3">
      <c r="A15" s="23" t="s">
        <v>17</v>
      </c>
      <c r="B15" s="24"/>
      <c r="C15" s="19"/>
      <c r="D15" s="20"/>
      <c r="E15" s="21"/>
      <c r="F15" s="22"/>
    </row>
    <row r="16" spans="1:16" ht="13.5" customHeight="1" x14ac:dyDescent="0.3">
      <c r="A16" s="23"/>
      <c r="B16" s="24" t="s">
        <v>64</v>
      </c>
      <c r="C16" s="25">
        <v>50000</v>
      </c>
      <c r="D16">
        <v>45000</v>
      </c>
      <c r="E16" s="26">
        <v>48000</v>
      </c>
      <c r="F16" s="27">
        <v>143000</v>
      </c>
    </row>
    <row r="17" spans="1:6" ht="13.5" customHeight="1" x14ac:dyDescent="0.3">
      <c r="A17" s="23"/>
      <c r="B17" s="24" t="s">
        <v>65</v>
      </c>
      <c r="C17" s="28">
        <v>476</v>
      </c>
      <c r="D17" s="29">
        <v>540</v>
      </c>
      <c r="E17" s="13">
        <v>459</v>
      </c>
      <c r="F17" s="30">
        <v>1475</v>
      </c>
    </row>
    <row r="18" spans="1:6" ht="13.5" customHeight="1" x14ac:dyDescent="0.3">
      <c r="A18" s="23" t="s">
        <v>21</v>
      </c>
      <c r="B18" s="24"/>
      <c r="C18" s="20"/>
      <c r="D18" s="20"/>
      <c r="E18" s="20"/>
      <c r="F18" s="22"/>
    </row>
    <row r="19" spans="1:6" ht="13.5" customHeight="1" x14ac:dyDescent="0.3">
      <c r="A19" s="23"/>
      <c r="B19" s="24" t="s">
        <v>64</v>
      </c>
      <c r="C19">
        <v>35000</v>
      </c>
      <c r="D19">
        <v>30000</v>
      </c>
      <c r="E19">
        <v>32000</v>
      </c>
      <c r="F19" s="27">
        <v>97000</v>
      </c>
    </row>
    <row r="20" spans="1:6" ht="13.5" customHeight="1" x14ac:dyDescent="0.3">
      <c r="A20" s="23"/>
      <c r="B20" s="24" t="s">
        <v>65</v>
      </c>
      <c r="C20" s="29">
        <v>264</v>
      </c>
      <c r="D20" s="29">
        <v>300</v>
      </c>
      <c r="E20" s="29">
        <v>346</v>
      </c>
      <c r="F20" s="30">
        <v>910</v>
      </c>
    </row>
    <row r="21" spans="1:6" ht="13.5" customHeight="1" x14ac:dyDescent="0.3">
      <c r="A21" s="31" t="s">
        <v>66</v>
      </c>
      <c r="B21" s="32"/>
      <c r="C21" s="33">
        <v>117000</v>
      </c>
      <c r="D21" s="34">
        <v>108000</v>
      </c>
      <c r="E21" s="35">
        <v>112000</v>
      </c>
      <c r="F21" s="36">
        <v>337000</v>
      </c>
    </row>
    <row r="22" spans="1:6" ht="13.5" customHeight="1" x14ac:dyDescent="0.3">
      <c r="A22" s="37" t="s">
        <v>67</v>
      </c>
      <c r="B22" s="38"/>
      <c r="C22" s="39">
        <v>1011</v>
      </c>
      <c r="D22" s="40">
        <v>1146</v>
      </c>
      <c r="E22" s="41">
        <v>1073</v>
      </c>
      <c r="F22" s="42">
        <v>3230</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 &amp;Kffffff&amp;A</oddHeader>
    <oddFooter>&amp;C&amp;"Times New Roman,Regular"&amp;12 &amp;KffffffPage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
  <sheetViews>
    <sheetView zoomScaleNormal="100" workbookViewId="0">
      <selection activeCell="E9" sqref="E9"/>
    </sheetView>
  </sheetViews>
  <sheetFormatPr defaultColWidth="8.6640625" defaultRowHeight="14.4" x14ac:dyDescent="0.3"/>
  <cols>
    <col min="1" max="1" width="12" customWidth="1"/>
    <col min="2" max="2" width="14" customWidth="1"/>
    <col min="3" max="3" width="16" customWidth="1"/>
    <col min="4" max="5" width="20" customWidth="1"/>
  </cols>
  <sheetData>
    <row r="1" spans="1:5" ht="31.5" customHeight="1" x14ac:dyDescent="0.3">
      <c r="A1" s="53" t="s">
        <v>68</v>
      </c>
      <c r="B1" s="51"/>
      <c r="C1" s="51"/>
      <c r="D1" s="51"/>
      <c r="E1" s="51"/>
    </row>
    <row r="3" spans="1:5" ht="27.75" customHeight="1" x14ac:dyDescent="0.3">
      <c r="A3" s="52" t="s">
        <v>69</v>
      </c>
      <c r="B3" s="51"/>
      <c r="C3" s="51"/>
      <c r="D3" s="51"/>
      <c r="E3" s="51"/>
    </row>
    <row r="4" spans="1:5" ht="15" customHeight="1" x14ac:dyDescent="0.3">
      <c r="A4" s="51"/>
      <c r="B4" s="51"/>
      <c r="C4" s="51"/>
      <c r="D4" s="51"/>
      <c r="E4" s="51"/>
    </row>
    <row r="6" spans="1:5" ht="15" customHeight="1" x14ac:dyDescent="0.3">
      <c r="A6" s="1" t="s">
        <v>2</v>
      </c>
      <c r="B6" s="1" t="s">
        <v>70</v>
      </c>
      <c r="C6" s="1" t="s">
        <v>71</v>
      </c>
      <c r="D6" s="1" t="s">
        <v>72</v>
      </c>
      <c r="E6" s="1" t="s">
        <v>73</v>
      </c>
    </row>
    <row r="7" spans="1:5" ht="15" customHeight="1" x14ac:dyDescent="0.3">
      <c r="A7" t="s">
        <v>25</v>
      </c>
      <c r="B7">
        <f>SUMIF('Sheet2 - Q1 Answer'!$C$4:$C$15,A7,'Sheet2 - Q1 Answer'!$E$4:$E$15)</f>
        <v>60000</v>
      </c>
      <c r="C7">
        <f>SUMIF('Sheet2 - Q1 Answer'!$C$4:$C$15,A7,'Sheet2 - Q1 Answer'!$I$4:$I$15)</f>
        <v>288</v>
      </c>
      <c r="D7" s="3">
        <f>IFERROR(B7/C7,0)</f>
        <v>208.33333333333334</v>
      </c>
      <c r="E7" s="43">
        <f>IFERROR(B7/SUM($B$7:$B$10),0)</f>
        <v>0.17804154302670624</v>
      </c>
    </row>
    <row r="8" spans="1:5" ht="15" customHeight="1" x14ac:dyDescent="0.3">
      <c r="A8" t="s">
        <v>12</v>
      </c>
      <c r="B8">
        <f>SUMIF('Sheet2 - Q1 Answer'!$C$4:$C$15,A8,'Sheet2 - Q1 Answer'!$E$4:$E$15)</f>
        <v>37000</v>
      </c>
      <c r="C8">
        <f>SUMIF('Sheet2 - Q1 Answer'!$C$4:$C$15,A8,'Sheet2 - Q1 Answer'!$I$4:$I$15)</f>
        <v>557</v>
      </c>
      <c r="D8" s="3">
        <f t="shared" ref="D8:D10" si="0">IFERROR(B8/C8,0)</f>
        <v>66.427289048473966</v>
      </c>
      <c r="E8" s="43">
        <f t="shared" ref="E8:E10" si="1">IFERROR(B8/SUM($B$7:$B$10),0)</f>
        <v>0.10979228486646884</v>
      </c>
    </row>
    <row r="9" spans="1:5" ht="15" customHeight="1" x14ac:dyDescent="0.3">
      <c r="A9" t="s">
        <v>17</v>
      </c>
      <c r="B9">
        <f>SUMIF('Sheet2 - Q1 Answer'!$C$4:$C$15,A9,'Sheet2 - Q1 Answer'!$E$4:$E$15)</f>
        <v>143000</v>
      </c>
      <c r="C9">
        <f>SUMIF('Sheet2 - Q1 Answer'!$C$4:$C$15,A9,'Sheet2 - Q1 Answer'!$I$4:$I$15)</f>
        <v>1475</v>
      </c>
      <c r="D9" s="3">
        <f t="shared" si="0"/>
        <v>96.949152542372886</v>
      </c>
      <c r="E9" s="43">
        <f t="shared" si="1"/>
        <v>0.42433234421364985</v>
      </c>
    </row>
    <row r="10" spans="1:5" ht="15" customHeight="1" x14ac:dyDescent="0.3">
      <c r="A10" t="s">
        <v>21</v>
      </c>
      <c r="B10">
        <f>SUMIF('Sheet2 - Q1 Answer'!$C$4:$C$15,A10,'Sheet2 - Q1 Answer'!$E$4:$E$15)</f>
        <v>97000</v>
      </c>
      <c r="C10">
        <f>SUMIF('Sheet2 - Q1 Answer'!$C$4:$C$15,A10,'Sheet2 - Q1 Answer'!$I$4:$I$15)</f>
        <v>910</v>
      </c>
      <c r="D10" s="3">
        <f t="shared" si="0"/>
        <v>106.5934065934066</v>
      </c>
      <c r="E10" s="43">
        <f t="shared" si="1"/>
        <v>0.28783382789317508</v>
      </c>
    </row>
  </sheetData>
  <mergeCells count="2">
    <mergeCell ref="A3:E4"/>
    <mergeCell ref="A1:E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0"/>
  <sheetViews>
    <sheetView tabSelected="1" zoomScale="89" zoomScaleNormal="100" workbookViewId="0">
      <selection activeCell="A15" sqref="A15"/>
    </sheetView>
  </sheetViews>
  <sheetFormatPr defaultColWidth="11.5546875" defaultRowHeight="14.4" x14ac:dyDescent="0.3"/>
  <sheetData>
    <row r="1" spans="1:2" ht="13.5" customHeight="1" x14ac:dyDescent="0.3">
      <c r="A1" t="s">
        <v>74</v>
      </c>
    </row>
    <row r="2" spans="1:2" ht="13.5" customHeight="1" x14ac:dyDescent="0.3">
      <c r="A2" t="s">
        <v>75</v>
      </c>
    </row>
    <row r="3" spans="1:2" ht="13.5" customHeight="1" x14ac:dyDescent="0.3">
      <c r="A3" t="s">
        <v>76</v>
      </c>
      <c r="B3" t="s">
        <v>77</v>
      </c>
    </row>
    <row r="4" spans="1:2" ht="13.5" customHeight="1" x14ac:dyDescent="0.3">
      <c r="A4" t="s">
        <v>5</v>
      </c>
      <c r="B4">
        <v>5440000</v>
      </c>
    </row>
    <row r="5" spans="1:2" ht="13.5" customHeight="1" x14ac:dyDescent="0.3">
      <c r="A5" t="s">
        <v>6</v>
      </c>
      <c r="B5">
        <v>145100</v>
      </c>
    </row>
    <row r="6" spans="1:2" ht="13.5" customHeight="1" x14ac:dyDescent="0.3">
      <c r="A6" t="s">
        <v>7</v>
      </c>
      <c r="B6">
        <v>21000</v>
      </c>
    </row>
    <row r="7" spans="1:2" ht="13.5" customHeight="1" x14ac:dyDescent="0.3">
      <c r="A7" t="s">
        <v>8</v>
      </c>
      <c r="B7">
        <v>3230</v>
      </c>
    </row>
    <row r="8" spans="1:2" ht="13.5" customHeight="1" x14ac:dyDescent="0.3"/>
    <row r="9" spans="1:2" ht="13.5" customHeight="1" x14ac:dyDescent="0.3"/>
    <row r="10" spans="1:2" ht="13.5" customHeight="1" x14ac:dyDescent="0.3"/>
    <row r="11" spans="1:2" ht="13.5" customHeight="1" x14ac:dyDescent="0.3"/>
    <row r="12" spans="1:2" ht="13.5" customHeight="1" x14ac:dyDescent="0.3"/>
    <row r="13" spans="1:2" ht="13.5" customHeight="1" x14ac:dyDescent="0.3"/>
    <row r="14" spans="1:2" ht="13.5" customHeight="1" x14ac:dyDescent="0.3"/>
    <row r="15" spans="1:2" ht="13.5" customHeight="1" x14ac:dyDescent="0.3"/>
    <row r="16" spans="1:2" ht="13.5" customHeight="1" x14ac:dyDescent="0.3"/>
    <row r="17" ht="13.5" customHeight="1" x14ac:dyDescent="0.3"/>
    <row r="18" ht="13.5" customHeight="1" x14ac:dyDescent="0.3"/>
    <row r="19" ht="13.5" customHeight="1" x14ac:dyDescent="0.3"/>
    <row r="20" ht="13.5" customHeight="1" x14ac:dyDescent="0.3"/>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 &amp;Kffffff&amp;A</oddHeader>
    <oddFooter>&amp;C&amp;"Times New Roman,Regular"&amp;12 &amp;KffffffPage &amp;P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4"/>
  <sheetViews>
    <sheetView topLeftCell="A2" zoomScaleNormal="100" workbookViewId="0">
      <selection activeCell="B8" sqref="B8"/>
    </sheetView>
  </sheetViews>
  <sheetFormatPr defaultColWidth="8.6640625" defaultRowHeight="14.4" x14ac:dyDescent="0.3"/>
  <cols>
    <col min="1" max="1" width="26" customWidth="1"/>
    <col min="2" max="2" width="20" customWidth="1"/>
    <col min="3" max="5" width="10" customWidth="1"/>
  </cols>
  <sheetData>
    <row r="1" spans="1:5" ht="21.75" customHeight="1" x14ac:dyDescent="0.3">
      <c r="A1" s="53" t="s">
        <v>78</v>
      </c>
      <c r="B1" s="51"/>
      <c r="C1" s="51"/>
      <c r="D1" s="51"/>
      <c r="E1" s="51"/>
    </row>
    <row r="3" spans="1:5" ht="15" customHeight="1" x14ac:dyDescent="0.3">
      <c r="A3" s="44" t="s">
        <v>79</v>
      </c>
    </row>
    <row r="4" spans="1:5" ht="49.5" customHeight="1" x14ac:dyDescent="0.3">
      <c r="A4" s="54" t="s">
        <v>80</v>
      </c>
      <c r="B4" s="51"/>
      <c r="C4" s="51"/>
      <c r="D4" s="51"/>
      <c r="E4" s="51"/>
    </row>
    <row r="5" spans="1:5" ht="15" customHeight="1" x14ac:dyDescent="0.3">
      <c r="A5" s="51"/>
      <c r="B5" s="51"/>
      <c r="C5" s="51"/>
      <c r="D5" s="51"/>
      <c r="E5" s="51"/>
    </row>
    <row r="6" spans="1:5" ht="15" customHeight="1" x14ac:dyDescent="0.3">
      <c r="A6" s="51"/>
      <c r="B6" s="51"/>
      <c r="C6" s="51"/>
      <c r="D6" s="51"/>
      <c r="E6" s="51"/>
    </row>
    <row r="9" spans="1:5" ht="15" customHeight="1" x14ac:dyDescent="0.3">
      <c r="A9" s="45" t="s">
        <v>81</v>
      </c>
    </row>
    <row r="11" spans="1:5" ht="15" customHeight="1" x14ac:dyDescent="0.3">
      <c r="A11" s="1" t="s">
        <v>101</v>
      </c>
      <c r="B11" s="1" t="s">
        <v>82</v>
      </c>
    </row>
    <row r="12" spans="1:5" ht="15" customHeight="1" x14ac:dyDescent="0.3">
      <c r="A12" t="s">
        <v>13</v>
      </c>
      <c r="B12">
        <f>SUMIF('Sheet2 - Q1 Answer'!$D$4:$D$15,A12,'Sheet2 - Q1 Answer'!$E$4:$E$15)</f>
        <v>108000</v>
      </c>
    </row>
    <row r="13" spans="1:5" ht="15" customHeight="1" x14ac:dyDescent="0.3">
      <c r="A13" t="s">
        <v>29</v>
      </c>
      <c r="B13">
        <f>SUMIF('Sheet2 - Q1 Answer'!$D$4:$D$15,A13,'Sheet2 - Q1 Answer'!$E$4:$E$15)</f>
        <v>117000</v>
      </c>
    </row>
    <row r="14" spans="1:5" ht="15" customHeight="1" x14ac:dyDescent="0.3">
      <c r="A14" t="s">
        <v>39</v>
      </c>
      <c r="B14">
        <f>SUMIF('Sheet2 - Q1 Answer'!$D$4:$D$15,A14,'Sheet2 - Q1 Answer'!$E$4:$E$15)</f>
        <v>112000</v>
      </c>
    </row>
  </sheetData>
  <mergeCells count="2">
    <mergeCell ref="A1:E1"/>
    <mergeCell ref="A4:E6"/>
  </mergeCells>
  <pageMargins left="0.75" right="0.75" top="1" bottom="1" header="0.511811023622047" footer="0.511811023622047"/>
  <pageSetup paperSize="9" orientation="portrait" horizontalDpi="300" verticalDpi="30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3"/>
  <sheetViews>
    <sheetView topLeftCell="A13" zoomScaleNormal="100" workbookViewId="0">
      <selection activeCell="L32" sqref="L32"/>
    </sheetView>
  </sheetViews>
  <sheetFormatPr defaultColWidth="11.5546875" defaultRowHeight="14.4" x14ac:dyDescent="0.3"/>
  <cols>
    <col min="1" max="1" width="29.21875" customWidth="1"/>
  </cols>
  <sheetData>
    <row r="1" spans="1:13" ht="13.5" customHeight="1" x14ac:dyDescent="0.3">
      <c r="A1" t="s">
        <v>83</v>
      </c>
    </row>
    <row r="2" spans="1:13" ht="13.5" customHeight="1" x14ac:dyDescent="0.3"/>
    <row r="3" spans="1:13" ht="13.5" customHeight="1" x14ac:dyDescent="0.3">
      <c r="A3" t="s">
        <v>70</v>
      </c>
      <c r="D3" t="s">
        <v>71</v>
      </c>
      <c r="G3" t="s">
        <v>84</v>
      </c>
      <c r="J3" t="s">
        <v>85</v>
      </c>
      <c r="M3" t="s">
        <v>86</v>
      </c>
    </row>
    <row r="4" spans="1:13" ht="13.5" customHeight="1" x14ac:dyDescent="0.3">
      <c r="A4">
        <f>SUM('Sheet2 - Q1 Answer'!E4:E15)</f>
        <v>337000</v>
      </c>
      <c r="D4">
        <f>SUM('Sheet2 - Q1 Answer'!I4:I15)</f>
        <v>3230</v>
      </c>
      <c r="G4" t="str">
        <f>INDEX('Sheet7 - Q6 Answer'!A7:A10,MATCH(MIN('Sheet7 - Q6 Answer'!D7:D10),'Sheet7 - Q6 Answer'!D7:D10,0))</f>
        <v>Email</v>
      </c>
      <c r="J4" s="3">
        <f>'Sheet7 - Q6 Answer'!D9</f>
        <v>96.949152542372886</v>
      </c>
      <c r="M4" s="3">
        <f>'Sheet7 - Q6 Answer'!D7</f>
        <v>208.33333333333334</v>
      </c>
    </row>
    <row r="5" spans="1:13" ht="13.5" customHeight="1" x14ac:dyDescent="0.3"/>
    <row r="6" spans="1:13" ht="13.5" customHeight="1" x14ac:dyDescent="0.3"/>
    <row r="7" spans="1:13" ht="13.5" customHeight="1" x14ac:dyDescent="0.3">
      <c r="A7" t="s">
        <v>2</v>
      </c>
      <c r="B7" t="s">
        <v>70</v>
      </c>
    </row>
    <row r="8" spans="1:13" ht="13.5" customHeight="1" x14ac:dyDescent="0.3">
      <c r="A8" t="s">
        <v>25</v>
      </c>
      <c r="B8">
        <f>'Sheet7 - Q6 Answer'!B7</f>
        <v>60000</v>
      </c>
    </row>
    <row r="9" spans="1:13" ht="13.5" customHeight="1" x14ac:dyDescent="0.3">
      <c r="A9" t="s">
        <v>12</v>
      </c>
      <c r="B9">
        <f>'Sheet7 - Q6 Answer'!B8</f>
        <v>37000</v>
      </c>
    </row>
    <row r="10" spans="1:13" ht="13.5" customHeight="1" x14ac:dyDescent="0.3">
      <c r="A10" t="s">
        <v>17</v>
      </c>
      <c r="B10">
        <f>'Sheet7 - Q6 Answer'!B9</f>
        <v>143000</v>
      </c>
    </row>
    <row r="11" spans="1:13" ht="13.5" customHeight="1" x14ac:dyDescent="0.3">
      <c r="A11" t="s">
        <v>21</v>
      </c>
      <c r="B11">
        <f>'Sheet7 - Q6 Answer'!B10</f>
        <v>97000</v>
      </c>
    </row>
    <row r="12" spans="1:13" ht="13.5" customHeight="1" x14ac:dyDescent="0.3"/>
    <row r="13" spans="1:13" ht="13.5" customHeight="1" x14ac:dyDescent="0.3"/>
    <row r="14" spans="1:13" ht="13.5" customHeight="1" x14ac:dyDescent="0.3">
      <c r="A14" t="s">
        <v>87</v>
      </c>
    </row>
    <row r="15" spans="1:13" ht="13.5" customHeight="1" x14ac:dyDescent="0.3"/>
    <row r="16" spans="1:13" ht="13.5" customHeight="1" x14ac:dyDescent="0.3">
      <c r="A16" t="s">
        <v>88</v>
      </c>
    </row>
    <row r="17" spans="1:2" ht="13.5" customHeight="1" x14ac:dyDescent="0.3"/>
    <row r="18" spans="1:2" ht="13.5" customHeight="1" x14ac:dyDescent="0.3">
      <c r="A18" t="s">
        <v>85</v>
      </c>
      <c r="B18" s="3">
        <f>'Sheet7 - Q6 Answer'!D9</f>
        <v>96.949152542372886</v>
      </c>
    </row>
    <row r="19" spans="1:2" ht="13.5" customHeight="1" x14ac:dyDescent="0.3">
      <c r="A19" t="s">
        <v>86</v>
      </c>
      <c r="B19" s="3">
        <f>'Sheet7 - Q6 Answer'!D7</f>
        <v>208.33333333333334</v>
      </c>
    </row>
    <row r="20" spans="1:2" ht="13.5" customHeight="1" x14ac:dyDescent="0.3">
      <c r="A20" t="s">
        <v>89</v>
      </c>
      <c r="B20">
        <v>10000</v>
      </c>
    </row>
    <row r="21" spans="1:2" ht="13.5" customHeight="1" x14ac:dyDescent="0.3">
      <c r="A21" t="s">
        <v>90</v>
      </c>
      <c r="B21" s="49">
        <f>IFERROR(B20/B18,0)</f>
        <v>103.14685314685315</v>
      </c>
    </row>
    <row r="22" spans="1:2" ht="13.5" customHeight="1" x14ac:dyDescent="0.3">
      <c r="A22" t="s">
        <v>91</v>
      </c>
      <c r="B22" s="49">
        <f>IFERROR(B20/B19,0)</f>
        <v>48</v>
      </c>
    </row>
    <row r="23" spans="1:2" ht="13.5" customHeight="1" x14ac:dyDescent="0.3">
      <c r="A23" t="s">
        <v>92</v>
      </c>
      <c r="B23" s="49">
        <f>B21-B22</f>
        <v>55.146853146853147</v>
      </c>
    </row>
  </sheetData>
  <scenarios current="0" show="0">
    <scenario name="Display to Search Budget Shift" locked="1" count="1" user="Mirthul Shankar" comment="Created by Mirthul Shankar on 17-10-2026">
      <inputCells r="B20" val="10000"/>
    </scenario>
  </scenario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 &amp;Kffffff&amp;A</oddHeader>
    <oddFooter>&amp;C&amp;"Times New Roman,Regular"&amp;12 &amp;KffffffPage &amp;P</oddFooter>
  </headerFooter>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Sheet1 - Dataset</vt:lpstr>
      <vt:lpstr>Sheet2 - Q1 Answer</vt:lpstr>
      <vt:lpstr>Sheet3 - Q2 Answer</vt:lpstr>
      <vt:lpstr>Sheet4 - Q3 Answer</vt:lpstr>
      <vt:lpstr>Sheet5 - Q4 Answer</vt:lpstr>
      <vt:lpstr>Sheet6 - Q5 Answer</vt:lpstr>
      <vt:lpstr>Sheet7 - Q6 Answer</vt:lpstr>
      <vt:lpstr>Sheet8 - Q7 Answer</vt:lpstr>
      <vt:lpstr>Sheet9 - Q8 Answer</vt:lpstr>
      <vt:lpstr>Sheet10 - Q9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Mirthul S</cp:lastModifiedBy>
  <cp:revision>9</cp:revision>
  <dcterms:created xsi:type="dcterms:W3CDTF">2026-09-11T10:44:21Z</dcterms:created>
  <dcterms:modified xsi:type="dcterms:W3CDTF">2026-10-17T09:34:01Z</dcterms:modified>
  <dc:language>en-US</dc:language>
</cp:coreProperties>
</file>